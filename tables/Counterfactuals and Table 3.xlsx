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rietario\Desktop\"/>
    </mc:Choice>
  </mc:AlternateContent>
  <xr:revisionPtr revIDLastSave="0" documentId="13_ncr:1_{41FA847E-817C-45E6-9191-AA02A478C6FF}" xr6:coauthVersionLast="47" xr6:coauthVersionMax="47" xr10:uidLastSave="{00000000-0000-0000-0000-000000000000}"/>
  <bookViews>
    <workbookView xWindow="-108" yWindow="-108" windowWidth="23256" windowHeight="12456" xr2:uid="{E60E2146-0E7D-41B9-8791-C3903E921D00}"/>
  </bookViews>
  <sheets>
    <sheet name="Nominal wage" sheetId="11" r:id="rId1"/>
    <sheet name="Employment rate" sheetId="16" r:id="rId2"/>
    <sheet name="Aggregate labor income" sheetId="18" r:id="rId3"/>
    <sheet name="Table 3 Germany" sheetId="20" r:id="rId4"/>
    <sheet name="CPI Italy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6" l="1"/>
  <c r="N44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2" i="16"/>
  <c r="N2" i="16"/>
  <c r="C15" i="18"/>
  <c r="C14" i="18"/>
  <c r="D14" i="18" s="1"/>
  <c r="Y5" i="11"/>
  <c r="Y4" i="11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2" i="11"/>
  <c r="V65" i="16"/>
  <c r="M44" i="16"/>
  <c r="O45" i="16" s="1"/>
  <c r="C4" i="11"/>
  <c r="V65" i="11"/>
  <c r="N65" i="21"/>
  <c r="G44" i="21"/>
  <c r="P2" i="21" s="1"/>
  <c r="T77" i="20"/>
  <c r="J25" i="20"/>
  <c r="V5" i="20" s="1"/>
  <c r="S77" i="20"/>
  <c r="I25" i="20"/>
  <c r="H25" i="20"/>
  <c r="R77" i="20"/>
  <c r="Q77" i="20"/>
  <c r="G25" i="20"/>
  <c r="J44" i="16"/>
  <c r="X8" i="16" s="1"/>
  <c r="K15" i="18"/>
  <c r="F13" i="18"/>
  <c r="D15" i="18"/>
  <c r="C13" i="18"/>
  <c r="I15" i="18"/>
  <c r="I14" i="18"/>
  <c r="I13" i="18"/>
  <c r="Y6" i="16"/>
  <c r="M44" i="11"/>
  <c r="Y4" i="16" l="1"/>
  <c r="Z6" i="16" s="1"/>
  <c r="AA6" i="16" s="1"/>
  <c r="V2" i="20"/>
  <c r="V3" i="20"/>
  <c r="V4" i="20"/>
  <c r="J14" i="18"/>
  <c r="K14" i="18" s="1"/>
  <c r="J15" i="18"/>
  <c r="O44" i="11"/>
  <c r="N44" i="11"/>
  <c r="Y5" i="16" l="1"/>
  <c r="N45" i="16"/>
  <c r="O45" i="11"/>
  <c r="Y6" i="11"/>
  <c r="N45" i="11"/>
  <c r="Z5" i="16" l="1"/>
  <c r="AA5" i="16" s="1"/>
  <c r="Z5" i="11"/>
  <c r="AA5" i="11" s="1"/>
  <c r="Z6" i="11"/>
  <c r="AA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proprietario</author>
  </authors>
  <commentList>
    <comment ref="V65" authorId="0" shapeId="0" xr:uid="{42FE9723-39AD-43C1-BFC8-89F4A5E90B52}">
      <text>
        <r>
          <rPr>
            <b/>
            <sz val="9"/>
            <color indexed="81"/>
            <rFont val="Tahoma"/>
            <charset val="1"/>
          </rPr>
          <t>proprietario:</t>
        </r>
        <r>
          <rPr>
            <sz val="9"/>
            <color indexed="81"/>
            <rFont val="Tahoma"/>
            <charset val="1"/>
          </rPr>
          <t xml:space="preserve">
Mean value added north Italy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proprietario</author>
  </authors>
  <commentList>
    <comment ref="X8" authorId="0" shapeId="0" xr:uid="{C2537AF9-F13D-4F3C-BA02-787323BE2D85}">
      <text>
        <r>
          <rPr>
            <b/>
            <sz val="9"/>
            <color indexed="81"/>
            <rFont val="Tahoma"/>
            <charset val="1"/>
          </rPr>
          <t>proprietario:</t>
        </r>
        <r>
          <rPr>
            <sz val="9"/>
            <color indexed="81"/>
            <rFont val="Tahoma"/>
            <charset val="1"/>
          </rPr>
          <t xml:space="preserve">
Weighted Mean Italian Value Added</t>
        </r>
      </text>
    </comment>
    <comment ref="J44" authorId="0" shapeId="0" xr:uid="{646A33ED-096D-40E8-95AD-3D3C23C7D373}">
      <text>
        <r>
          <rPr>
            <b/>
            <sz val="9"/>
            <color indexed="81"/>
            <rFont val="Tahoma"/>
            <charset val="1"/>
          </rPr>
          <t>proprietario:</t>
        </r>
        <r>
          <rPr>
            <sz val="9"/>
            <color indexed="81"/>
            <rFont val="Tahoma"/>
            <charset val="1"/>
          </rPr>
          <t xml:space="preserve">
Mean Value Added South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proprietario</author>
  </authors>
  <commentList>
    <comment ref="V2" authorId="0" shapeId="0" xr:uid="{841C2392-F121-4A77-BE2A-726FC3919751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Weighted Mean Value Added Germany
</t>
        </r>
      </text>
    </comment>
    <comment ref="V3" authorId="0" shapeId="0" xr:uid="{374E011E-0401-4511-A00A-D857E4DAF8DE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Weighted mean nominal wage Germany</t>
        </r>
      </text>
    </comment>
    <comment ref="V4" authorId="0" shapeId="0" xr:uid="{FC86527E-764D-474D-A3CF-C2FAABDCC8D7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Mean employment rate Germany</t>
        </r>
      </text>
    </comment>
    <comment ref="V5" authorId="0" shapeId="0" xr:uid="{9D110D92-5F91-45BD-A92B-DC43C6965C07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Germany</t>
        </r>
      </text>
    </comment>
    <comment ref="G25" authorId="0" shapeId="0" xr:uid="{E3B4C340-D40C-4A8C-8254-BC495676FA99}">
      <text>
        <r>
          <rPr>
            <b/>
            <sz val="9"/>
            <color indexed="81"/>
            <rFont val="Tahoma"/>
            <charset val="1"/>
          </rPr>
          <t>proprietario:</t>
        </r>
        <r>
          <rPr>
            <sz val="9"/>
            <color indexed="81"/>
            <rFont val="Tahoma"/>
            <charset val="1"/>
          </rPr>
          <t xml:space="preserve">
Mean Value Added East Germany </t>
        </r>
      </text>
    </comment>
    <comment ref="H25" authorId="0" shapeId="0" xr:uid="{318C7B4B-BD23-4C98-8391-8FDBECEE5EFA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Mean nominal wage East Germany</t>
        </r>
      </text>
    </comment>
    <comment ref="I25" authorId="0" shapeId="0" xr:uid="{A62772D6-38F4-4BA0-9B8C-2DE74AEB8D0D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Mean employment rate East Germany</t>
        </r>
      </text>
    </comment>
    <comment ref="J25" authorId="0" shapeId="0" xr:uid="{7622F764-DB67-40E7-9EEE-8BCDB77A1C80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East Germany</t>
        </r>
      </text>
    </comment>
    <comment ref="Q77" authorId="0" shapeId="0" xr:uid="{DDDE7C02-55E3-48D2-87D7-9167AC7F7715}">
      <text>
        <r>
          <rPr>
            <b/>
            <sz val="9"/>
            <color indexed="81"/>
            <rFont val="Tahoma"/>
            <charset val="1"/>
          </rPr>
          <t>proprietario:</t>
        </r>
        <r>
          <rPr>
            <sz val="9"/>
            <color indexed="81"/>
            <rFont val="Tahoma"/>
            <charset val="1"/>
          </rPr>
          <t xml:space="preserve">
Mean Value Added West Germany</t>
        </r>
      </text>
    </comment>
    <comment ref="R77" authorId="0" shapeId="0" xr:uid="{2D6C0026-72BE-491C-AD5E-BE2C93EE9C6E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Mean nominal wage West Germany</t>
        </r>
      </text>
    </comment>
    <comment ref="S77" authorId="0" shapeId="0" xr:uid="{8AE1F770-341F-45F9-8E8E-3A4A9AE4DC4F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Mean employment rate West Germany</t>
        </r>
      </text>
    </comment>
    <comment ref="T77" authorId="0" shapeId="0" xr:uid="{FB3201D4-F6AE-4300-A393-2CB6AEC4817F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West Germany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proprietario</author>
  </authors>
  <commentList>
    <comment ref="P2" authorId="0" shapeId="0" xr:uid="{B261E38D-DBB6-418A-A401-2052B99DED75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Italy</t>
        </r>
      </text>
    </comment>
    <comment ref="G44" authorId="0" shapeId="0" xr:uid="{EC440FDD-4113-442E-A8D0-6FC7513C8886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South Italy</t>
        </r>
      </text>
    </comment>
    <comment ref="N65" authorId="0" shapeId="0" xr:uid="{E2998BBA-55FB-4404-949B-DAF00D5C2B6D}">
      <text>
        <r>
          <rPr>
            <b/>
            <sz val="9"/>
            <color indexed="81"/>
            <rFont val="Tahoma"/>
            <family val="2"/>
          </rPr>
          <t>proprietario:</t>
        </r>
        <r>
          <rPr>
            <sz val="9"/>
            <color indexed="81"/>
            <rFont val="Tahoma"/>
            <family val="2"/>
          </rPr>
          <t xml:space="preserve">
CPI North Italy</t>
        </r>
      </text>
    </comment>
  </commentList>
</comments>
</file>

<file path=xl/sharedStrings.xml><?xml version="1.0" encoding="utf-8"?>
<sst xmlns="http://schemas.openxmlformats.org/spreadsheetml/2006/main" count="1204" uniqueCount="271">
  <si>
    <t>work_age_pop</t>
  </si>
  <si>
    <t>Benevento</t>
  </si>
  <si>
    <t>Vibo Valentia</t>
  </si>
  <si>
    <t>Lecce</t>
  </si>
  <si>
    <t>Reggio di Calabria</t>
  </si>
  <si>
    <t>Salerno</t>
  </si>
  <si>
    <t>Matera</t>
  </si>
  <si>
    <t>Nuoro</t>
  </si>
  <si>
    <t>Trapani</t>
  </si>
  <si>
    <t>Catanzaro</t>
  </si>
  <si>
    <t>Avellino</t>
  </si>
  <si>
    <t>Agrigento</t>
  </si>
  <si>
    <t>Bari</t>
  </si>
  <si>
    <t>Cosenza</t>
  </si>
  <si>
    <t>Foggia</t>
  </si>
  <si>
    <t>Ragusa</t>
  </si>
  <si>
    <t>Oristano</t>
  </si>
  <si>
    <t>Caserta</t>
  </si>
  <si>
    <t>Messina</t>
  </si>
  <si>
    <t>Taranto</t>
  </si>
  <si>
    <t>Rieti</t>
  </si>
  <si>
    <t>Cagliari</t>
  </si>
  <si>
    <t>Crotone</t>
  </si>
  <si>
    <t>Brindisi</t>
  </si>
  <si>
    <t>Teramo</t>
  </si>
  <si>
    <t>Catania</t>
  </si>
  <si>
    <t>Enna</t>
  </si>
  <si>
    <t>Caltanissetta</t>
  </si>
  <si>
    <t>Isernia</t>
  </si>
  <si>
    <t>Sassari</t>
  </si>
  <si>
    <t>Napoli</t>
  </si>
  <si>
    <t>Chieti</t>
  </si>
  <si>
    <t>Potenza</t>
  </si>
  <si>
    <t>Frosinone</t>
  </si>
  <si>
    <t>Palermo</t>
  </si>
  <si>
    <t>Campobasso</t>
  </si>
  <si>
    <t>L'Aquila</t>
  </si>
  <si>
    <t>Latina</t>
  </si>
  <si>
    <t>Viterbo</t>
  </si>
  <si>
    <t>Siracusa</t>
  </si>
  <si>
    <t>Pescara</t>
  </si>
  <si>
    <t>Roma</t>
  </si>
  <si>
    <t>Macerata</t>
  </si>
  <si>
    <t>Pesaro e Urbino</t>
  </si>
  <si>
    <t>Grosseto</t>
  </si>
  <si>
    <t>Perugia</t>
  </si>
  <si>
    <t>Terni</t>
  </si>
  <si>
    <t>Ascoli Piceno</t>
  </si>
  <si>
    <t>Massa-Carrara</t>
  </si>
  <si>
    <t>Pistoia</t>
  </si>
  <si>
    <t>Sondrio</t>
  </si>
  <si>
    <t>Arezzo</t>
  </si>
  <si>
    <t>Prato</t>
  </si>
  <si>
    <t>Livorno</t>
  </si>
  <si>
    <t>Rimini</t>
  </si>
  <si>
    <t>Pordenone</t>
  </si>
  <si>
    <t>Asti</t>
  </si>
  <si>
    <t>Ancona</t>
  </si>
  <si>
    <t>Rovigo</t>
  </si>
  <si>
    <t>Vercelli</t>
  </si>
  <si>
    <t>Forli</t>
  </si>
  <si>
    <t>Ferrara</t>
  </si>
  <si>
    <t>Piacenza</t>
  </si>
  <si>
    <t>Siena</t>
  </si>
  <si>
    <t>Imperia</t>
  </si>
  <si>
    <t>Udine</t>
  </si>
  <si>
    <t>Biella</t>
  </si>
  <si>
    <t>Lucca</t>
  </si>
  <si>
    <t>Mantova</t>
  </si>
  <si>
    <t>Pavia</t>
  </si>
  <si>
    <t>Cuneo</t>
  </si>
  <si>
    <t>Pisa</t>
  </si>
  <si>
    <t>Vicenza</t>
  </si>
  <si>
    <t>Treviso</t>
  </si>
  <si>
    <t>Padova</t>
  </si>
  <si>
    <t>Alessandria</t>
  </si>
  <si>
    <t>Ravenna</t>
  </si>
  <si>
    <t>Belluno</t>
  </si>
  <si>
    <t>Como</t>
  </si>
  <si>
    <t>Gorizia</t>
  </si>
  <si>
    <t>Parma</t>
  </si>
  <si>
    <t>Novara</t>
  </si>
  <si>
    <t>Verona</t>
  </si>
  <si>
    <t>Brescia</t>
  </si>
  <si>
    <t>Lodi</t>
  </si>
  <si>
    <t>Lecco</t>
  </si>
  <si>
    <t>Venezia</t>
  </si>
  <si>
    <t>Trieste</t>
  </si>
  <si>
    <t>Savona</t>
  </si>
  <si>
    <t>Firenze</t>
  </si>
  <si>
    <t>Bergamo</t>
  </si>
  <si>
    <t>La Spezia</t>
  </si>
  <si>
    <t>Torino</t>
  </si>
  <si>
    <t>Varese</t>
  </si>
  <si>
    <t>Trento</t>
  </si>
  <si>
    <t>Bologna</t>
  </si>
  <si>
    <t>Modena</t>
  </si>
  <si>
    <t>Cremona</t>
  </si>
  <si>
    <t>Bolzano/Bozen</t>
  </si>
  <si>
    <t>Genova</t>
  </si>
  <si>
    <t>Aosta</t>
  </si>
  <si>
    <t>Milano</t>
  </si>
  <si>
    <t>Status quo</t>
  </si>
  <si>
    <t>gva_ncorr</t>
  </si>
  <si>
    <t>name_prov</t>
  </si>
  <si>
    <t>North</t>
  </si>
  <si>
    <t>name_reg</t>
  </si>
  <si>
    <t>cod_prov</t>
  </si>
  <si>
    <t>Sardegna</t>
  </si>
  <si>
    <t>Sicilia</t>
  </si>
  <si>
    <t>Campania</t>
  </si>
  <si>
    <t>Basilicata</t>
  </si>
  <si>
    <t>Lazio</t>
  </si>
  <si>
    <t>Molise</t>
  </si>
  <si>
    <t>Calabria</t>
  </si>
  <si>
    <t>Puglia</t>
  </si>
  <si>
    <t>Abruzzo</t>
  </si>
  <si>
    <t>Lombardia</t>
  </si>
  <si>
    <t>Toscana</t>
  </si>
  <si>
    <t>Liguria</t>
  </si>
  <si>
    <t>Marche</t>
  </si>
  <si>
    <t>Piemonte</t>
  </si>
  <si>
    <t>Veneto</t>
  </si>
  <si>
    <t>Friuli-Venezia Giulia</t>
  </si>
  <si>
    <t>Emilia-Romagna</t>
  </si>
  <si>
    <t>Umbria</t>
  </si>
  <si>
    <t>median</t>
  </si>
  <si>
    <t>mean</t>
  </si>
  <si>
    <t xml:space="preserve"> Value added per worker</t>
  </si>
  <si>
    <t>Nominal wage</t>
  </si>
  <si>
    <t>Employment rate corrected</t>
  </si>
  <si>
    <t xml:space="preserve"> lwage | lempl</t>
  </si>
  <si>
    <t xml:space="preserve"> lwage | lgva</t>
  </si>
  <si>
    <t>Italy</t>
  </si>
  <si>
    <t>Counterfactual I</t>
  </si>
  <si>
    <t>Counterfactual II</t>
  </si>
  <si>
    <t>Average hourly wage: in euros</t>
  </si>
  <si>
    <t>Italy (high_gva == 0)</t>
  </si>
  <si>
    <t>South</t>
  </si>
  <si>
    <t>Italy (high_gva == 1)</t>
  </si>
  <si>
    <t>Trentino-Alto Adige</t>
  </si>
  <si>
    <t>Valle d'Aosta</t>
  </si>
  <si>
    <t>Reggio Emilia</t>
  </si>
  <si>
    <t>Verbano-Cusio</t>
  </si>
  <si>
    <t>Employment rate: in % corrected for informal work</t>
  </si>
  <si>
    <t>Aggregate labor income per capita: in euros per month</t>
  </si>
  <si>
    <t>Germany</t>
  </si>
  <si>
    <t xml:space="preserve">Employment rate </t>
  </si>
  <si>
    <t>Aggregate labor income</t>
  </si>
  <si>
    <t>country</t>
  </si>
  <si>
    <t>high_gva</t>
  </si>
  <si>
    <t>year</t>
  </si>
  <si>
    <t>cpi_moretti</t>
  </si>
  <si>
    <t>gva</t>
  </si>
  <si>
    <t>empl_rate</t>
  </si>
  <si>
    <t>wage_unif</t>
  </si>
  <si>
    <t>Mecklenburg-Vorpommern</t>
  </si>
  <si>
    <t>Mittleres Mecklenburg/Rostock</t>
  </si>
  <si>
    <t>Sachsen</t>
  </si>
  <si>
    <t>Südsachsen</t>
  </si>
  <si>
    <t>Brandenburg</t>
  </si>
  <si>
    <t>Oderland-Spree</t>
  </si>
  <si>
    <t>Berlin</t>
  </si>
  <si>
    <t>Lausitz-Spreewald</t>
  </si>
  <si>
    <t>Sachsen-Anhalt</t>
  </si>
  <si>
    <t>Anhalt-Bitterfeld-Wittenberg</t>
  </si>
  <si>
    <t>Thüringen</t>
  </si>
  <si>
    <t>Ostthüringen</t>
  </si>
  <si>
    <t>Westsachsen</t>
  </si>
  <si>
    <t>Havelland-Fläming</t>
  </si>
  <si>
    <t>Magdeburg</t>
  </si>
  <si>
    <t>Westmecklenburg</t>
  </si>
  <si>
    <t>Nordthüringen</t>
  </si>
  <si>
    <t>Halle/S.</t>
  </si>
  <si>
    <t>Vorpommern</t>
  </si>
  <si>
    <t>Mecklenburgische Seenplatte</t>
  </si>
  <si>
    <t>Altmark</t>
  </si>
  <si>
    <t>Prignitz-Oberhavel</t>
  </si>
  <si>
    <t>Oberlausitz-Niederschlesien</t>
  </si>
  <si>
    <t>Mittelthüringen</t>
  </si>
  <si>
    <t>Südthüringen</t>
  </si>
  <si>
    <t>Oberes Elbtal/Osterzgebirge</t>
  </si>
  <si>
    <t>Uckermark-Barnim</t>
  </si>
  <si>
    <t>Bayern</t>
  </si>
  <si>
    <t>Donau-Iller (BY)</t>
  </si>
  <si>
    <t>München</t>
  </si>
  <si>
    <t>Nordrhein-Westfalen</t>
  </si>
  <si>
    <t>Bochum/Hagen</t>
  </si>
  <si>
    <t>Bielefeld</t>
  </si>
  <si>
    <t>Rheinland-Pfalz</t>
  </si>
  <si>
    <t>Trier</t>
  </si>
  <si>
    <t>Rheinpfalz</t>
  </si>
  <si>
    <t>Niedersachsen</t>
  </si>
  <si>
    <t>Göttingen</t>
  </si>
  <si>
    <t>Hessen</t>
  </si>
  <si>
    <t>Nordhessen</t>
  </si>
  <si>
    <t>Emscher-Lippe</t>
  </si>
  <si>
    <t>Emsland</t>
  </si>
  <si>
    <t>Baden-Württemberg</t>
  </si>
  <si>
    <t>Südlicher Oberrhein</t>
  </si>
  <si>
    <t>Main-Rhön</t>
  </si>
  <si>
    <t>Duisburg/Essen</t>
  </si>
  <si>
    <t>Donau-Wald</t>
  </si>
  <si>
    <t>Bonn</t>
  </si>
  <si>
    <t>Mittelhessen</t>
  </si>
  <si>
    <t>Siegen</t>
  </si>
  <si>
    <t>Rhein-Main</t>
  </si>
  <si>
    <t>Bremen</t>
  </si>
  <si>
    <t>Hamburg</t>
  </si>
  <si>
    <t>Bayerischer Untermain</t>
  </si>
  <si>
    <t>Oberfranken-Ost</t>
  </si>
  <si>
    <t>Aachen</t>
  </si>
  <si>
    <t>Düsseldorf</t>
  </si>
  <si>
    <t>Osnabrück</t>
  </si>
  <si>
    <t>Ost-Friesland</t>
  </si>
  <si>
    <t>Saarland</t>
  </si>
  <si>
    <t>Saar</t>
  </si>
  <si>
    <t>Stuttgart</t>
  </si>
  <si>
    <t>Schleswig-Holstein</t>
  </si>
  <si>
    <t>Schleswig-Holstein Süd-West</t>
  </si>
  <si>
    <t>Bodensee-Oberschwaben</t>
  </si>
  <si>
    <t>Münster</t>
  </si>
  <si>
    <t>Regensburg</t>
  </si>
  <si>
    <t>Oberland</t>
  </si>
  <si>
    <t>Rheinhessen-Nahe</t>
  </si>
  <si>
    <t>Bremerhaven</t>
  </si>
  <si>
    <t>Lüneburg</t>
  </si>
  <si>
    <t>Schleswig-Holstein Mitte</t>
  </si>
  <si>
    <t>Schleswig-Holstein Nord</t>
  </si>
  <si>
    <t>Arnsberg</t>
  </si>
  <si>
    <t>Osthessen</t>
  </si>
  <si>
    <t>Westmittelfranken</t>
  </si>
  <si>
    <t>Mittlerer Oberrhein</t>
  </si>
  <si>
    <t>Dortmund</t>
  </si>
  <si>
    <t>Mittelrhein-Westerwald</t>
  </si>
  <si>
    <t>Südheide</t>
  </si>
  <si>
    <t>Unterer Neckar</t>
  </si>
  <si>
    <t>Paderborn</t>
  </si>
  <si>
    <t>Schleswig-Holstein Süd</t>
  </si>
  <si>
    <t>Hildesheim</t>
  </si>
  <si>
    <t>Ostwürttemberg</t>
  </si>
  <si>
    <t>Oberpfalz-Nord</t>
  </si>
  <si>
    <t>Braunschweig</t>
  </si>
  <si>
    <t>Hochrhein-Bodensee</t>
  </si>
  <si>
    <t>Industrieregion Mittelfranken</t>
  </si>
  <si>
    <t>Augsburg</t>
  </si>
  <si>
    <t>Würzburg</t>
  </si>
  <si>
    <t>Schleswig-Holstein Ost</t>
  </si>
  <si>
    <t>Südostoberbayern</t>
  </si>
  <si>
    <t>Westpfalz</t>
  </si>
  <si>
    <t>Starkenburg</t>
  </si>
  <si>
    <t>Oldenburg</t>
  </si>
  <si>
    <t>Ingolstadt</t>
  </si>
  <si>
    <t>Hamburg-Umland-Süd</t>
  </si>
  <si>
    <t>Neckar-Alb</t>
  </si>
  <si>
    <t>Landshut</t>
  </si>
  <si>
    <t>Oberfranken-West</t>
  </si>
  <si>
    <t>Bremen-Umland</t>
  </si>
  <si>
    <t>Donau-Iller (BW)</t>
  </si>
  <si>
    <t>Hannover</t>
  </si>
  <si>
    <t>Allgäu</t>
  </si>
  <si>
    <t>Köln</t>
  </si>
  <si>
    <t>Nordschwarzwald</t>
  </si>
  <si>
    <t>Franken</t>
  </si>
  <si>
    <t>Schwarzwald-Baar-Heuberg</t>
  </si>
  <si>
    <t>Trentino-Alto Adige/Südtirol</t>
  </si>
  <si>
    <t>Verbano-Cusio-Ossola</t>
  </si>
  <si>
    <t>Valle d'Aosta/Vallée d'Aoste</t>
  </si>
  <si>
    <t>Reggio nell'Emilia</t>
  </si>
  <si>
    <t>empl_orig</t>
  </si>
  <si>
    <t>lwage|lnempl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</si>
</sst>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5" borderId="0" xfId="0" applyFill="1"/>
    <xf numFmtId="2" fontId="0" fillId="0" borderId="0" xfId="0" applyNumberFormat="1"/>
    <xf numFmtId="0" fontId="0" fillId="7" borderId="0" xfId="0" applyFill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4" fontId="0" fillId="0" borderId="0" xfId="0" applyNumberFormat="1"/>
    <xf numFmtId="0" fontId="0" fillId="0" borderId="2" xfId="0" applyBorder="1"/>
    <xf numFmtId="0" fontId="0" fillId="0" borderId="3" xfId="0" applyBorder="1"/>
    <xf numFmtId="164" fontId="1" fillId="0" borderId="7" xfId="0" applyNumberFormat="1" applyFont="1" applyBorder="1"/>
    <xf numFmtId="0" fontId="0" fillId="0" borderId="9" xfId="0" applyBorder="1"/>
    <xf numFmtId="0" fontId="1" fillId="0" borderId="9" xfId="0" applyFont="1" applyBorder="1"/>
    <xf numFmtId="0" fontId="0" fillId="9" borderId="0" xfId="0" applyFill="1"/>
    <xf numFmtId="0" fontId="1" fillId="0" borderId="0" xfId="0" applyFont="1"/>
    <xf numFmtId="0" fontId="0" fillId="0" borderId="10" xfId="0" applyBorder="1"/>
    <xf numFmtId="2" fontId="0" fillId="2" borderId="0" xfId="0" applyNumberFormat="1" applyFill="1"/>
    <xf numFmtId="2" fontId="0" fillId="3" borderId="0" xfId="0" applyNumberFormat="1" applyFill="1"/>
    <xf numFmtId="2" fontId="0" fillId="8" borderId="0" xfId="0" applyNumberFormat="1" applyFill="1"/>
    <xf numFmtId="2" fontId="0" fillId="10" borderId="5" xfId="0" applyNumberFormat="1" applyFill="1" applyBorder="1"/>
    <xf numFmtId="0" fontId="0" fillId="0" borderId="6" xfId="0" applyBorder="1"/>
    <xf numFmtId="2" fontId="0" fillId="4" borderId="11" xfId="0" applyNumberFormat="1" applyFill="1" applyBorder="1"/>
    <xf numFmtId="2" fontId="0" fillId="8" borderId="11" xfId="0" applyNumberFormat="1" applyFill="1" applyBorder="1"/>
    <xf numFmtId="2" fontId="0" fillId="10" borderId="7" xfId="0" applyNumberFormat="1" applyFill="1" applyBorder="1"/>
    <xf numFmtId="2" fontId="0" fillId="2" borderId="2" xfId="0" applyNumberFormat="1" applyFill="1" applyBorder="1"/>
    <xf numFmtId="2" fontId="0" fillId="3" borderId="10" xfId="0" applyNumberFormat="1" applyFill="1" applyBorder="1"/>
    <xf numFmtId="2" fontId="0" fillId="4" borderId="3" xfId="0" applyNumberFormat="1" applyFill="1" applyBorder="1"/>
    <xf numFmtId="2" fontId="0" fillId="8" borderId="7" xfId="0" applyNumberFormat="1" applyFill="1" applyBorder="1"/>
    <xf numFmtId="164" fontId="1" fillId="11" borderId="6" xfId="0" applyNumberFormat="1" applyFont="1" applyFill="1" applyBorder="1"/>
    <xf numFmtId="2" fontId="0" fillId="2" borderId="2" xfId="0" applyNumberFormat="1" applyFill="1" applyBorder="1" applyAlignment="1">
      <alignment horizontal="right"/>
    </xf>
    <xf numFmtId="0" fontId="0" fillId="5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6" xfId="0" applyFill="1" applyBorder="1"/>
    <xf numFmtId="2" fontId="0" fillId="0" borderId="5" xfId="0" applyNumberFormat="1" applyBorder="1"/>
    <xf numFmtId="2" fontId="0" fillId="12" borderId="5" xfId="0" applyNumberFormat="1" applyFill="1" applyBorder="1"/>
    <xf numFmtId="2" fontId="0" fillId="0" borderId="11" xfId="0" applyNumberFormat="1" applyBorder="1"/>
    <xf numFmtId="2" fontId="0" fillId="12" borderId="7" xfId="0" applyNumberFormat="1" applyFill="1" applyBorder="1"/>
    <xf numFmtId="2" fontId="0" fillId="0" borderId="10" xfId="0" applyNumberFormat="1" applyBorder="1"/>
    <xf numFmtId="2" fontId="0" fillId="0" borderId="3" xfId="0" applyNumberFormat="1" applyBorder="1"/>
    <xf numFmtId="2" fontId="0" fillId="6" borderId="5" xfId="0" applyNumberFormat="1" applyFill="1" applyBorder="1"/>
    <xf numFmtId="2" fontId="0" fillId="6" borderId="7" xfId="0" applyNumberFormat="1" applyFill="1" applyBorder="1"/>
    <xf numFmtId="2" fontId="0" fillId="8" borderId="5" xfId="0" applyNumberFormat="1" applyFill="1" applyBorder="1"/>
    <xf numFmtId="0" fontId="1" fillId="7" borderId="3" xfId="0" applyFont="1" applyFill="1" applyBorder="1"/>
    <xf numFmtId="0" fontId="1" fillId="7" borderId="10" xfId="0" applyFont="1" applyFill="1" applyBorder="1"/>
    <xf numFmtId="0" fontId="0" fillId="0" borderId="12" xfId="0" applyBorder="1"/>
    <xf numFmtId="0" fontId="1" fillId="13" borderId="8" xfId="0" applyFont="1" applyFill="1" applyBorder="1"/>
    <xf numFmtId="0" fontId="1" fillId="0" borderId="1" xfId="0" applyFont="1" applyBorder="1"/>
    <xf numFmtId="2" fontId="0" fillId="0" borderId="12" xfId="0" applyNumberFormat="1" applyBorder="1"/>
    <xf numFmtId="2" fontId="0" fillId="0" borderId="9" xfId="0" applyNumberFormat="1" applyBorder="1"/>
    <xf numFmtId="0" fontId="1" fillId="11" borderId="6" xfId="0" applyFont="1" applyFill="1" applyBorder="1"/>
    <xf numFmtId="1" fontId="0" fillId="14" borderId="0" xfId="0" applyNumberFormat="1" applyFill="1"/>
    <xf numFmtId="1" fontId="0" fillId="15" borderId="0" xfId="0" applyNumberFormat="1" applyFill="1"/>
    <xf numFmtId="2" fontId="0" fillId="16" borderId="0" xfId="0" applyNumberFormat="1" applyFill="1"/>
    <xf numFmtId="2" fontId="0" fillId="17" borderId="0" xfId="0" applyNumberFormat="1" applyFill="1"/>
    <xf numFmtId="2" fontId="0" fillId="18" borderId="0" xfId="0" applyNumberFormat="1" applyFill="1"/>
    <xf numFmtId="2" fontId="1" fillId="0" borderId="7" xfId="0" applyNumberFormat="1" applyFont="1" applyBorder="1"/>
    <xf numFmtId="2" fontId="0" fillId="14" borderId="0" xfId="0" applyNumberFormat="1" applyFill="1"/>
    <xf numFmtId="165" fontId="1" fillId="11" borderId="6" xfId="0" applyNumberFormat="1" applyFont="1" applyFill="1" applyBorder="1"/>
    <xf numFmtId="165" fontId="1" fillId="0" borderId="11" xfId="0" applyNumberFormat="1" applyFont="1" applyBorder="1"/>
    <xf numFmtId="0" fontId="1" fillId="0" borderId="7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3773-EB42-4BF4-A4E1-145A190C6D48}">
  <dimension ref="B1:AA65"/>
  <sheetViews>
    <sheetView tabSelected="1" zoomScale="70" zoomScaleNormal="70" workbookViewId="0">
      <selection activeCell="Y14" sqref="Y14"/>
    </sheetView>
  </sheetViews>
  <sheetFormatPr defaultRowHeight="14.4" x14ac:dyDescent="0.3"/>
  <cols>
    <col min="2" max="2" width="21.21875" customWidth="1"/>
    <col min="3" max="3" width="15.109375" customWidth="1"/>
    <col min="4" max="4" width="12.6640625" customWidth="1"/>
    <col min="6" max="6" width="18.33203125" customWidth="1"/>
    <col min="7" max="8" width="14.21875" customWidth="1"/>
    <col min="9" max="9" width="15.5546875" customWidth="1"/>
    <col min="10" max="10" width="19.88671875" customWidth="1"/>
    <col min="11" max="11" width="13.77734375" customWidth="1"/>
    <col min="12" max="13" width="11.109375" customWidth="1"/>
    <col min="14" max="14" width="13.88671875" customWidth="1"/>
    <col min="15" max="15" width="15.21875" customWidth="1"/>
    <col min="17" max="17" width="19.21875" customWidth="1"/>
    <col min="18" max="18" width="17.21875" customWidth="1"/>
    <col min="20" max="20" width="13.88671875" customWidth="1"/>
    <col min="21" max="21" width="13.21875" customWidth="1"/>
    <col min="22" max="23" width="13.33203125" customWidth="1"/>
    <col min="24" max="24" width="14.88671875" customWidth="1"/>
    <col min="27" max="27" width="13.33203125" customWidth="1"/>
    <col min="28" max="28" width="10.21875" customWidth="1"/>
    <col min="29" max="29" width="12.5546875" customWidth="1"/>
  </cols>
  <sheetData>
    <row r="1" spans="2:27" ht="15" thickBot="1" x14ac:dyDescent="0.35">
      <c r="F1" s="7" t="s">
        <v>138</v>
      </c>
      <c r="G1" t="s">
        <v>106</v>
      </c>
      <c r="H1" t="s">
        <v>107</v>
      </c>
      <c r="I1" t="s">
        <v>104</v>
      </c>
      <c r="J1" t="s">
        <v>103</v>
      </c>
      <c r="K1" t="s">
        <v>0</v>
      </c>
      <c r="M1" s="1" t="s">
        <v>102</v>
      </c>
      <c r="N1" s="2" t="s">
        <v>134</v>
      </c>
      <c r="O1" s="3" t="s">
        <v>135</v>
      </c>
      <c r="Q1" s="9" t="s">
        <v>105</v>
      </c>
      <c r="R1" t="s">
        <v>106</v>
      </c>
      <c r="S1" t="s">
        <v>107</v>
      </c>
      <c r="T1" t="s">
        <v>104</v>
      </c>
      <c r="U1" t="s">
        <v>0</v>
      </c>
      <c r="V1" t="s">
        <v>103</v>
      </c>
      <c r="X1" s="20" t="s">
        <v>133</v>
      </c>
    </row>
    <row r="2" spans="2:27" ht="15" thickBot="1" x14ac:dyDescent="0.35">
      <c r="B2" s="10" t="s">
        <v>128</v>
      </c>
      <c r="C2" s="50" t="s">
        <v>105</v>
      </c>
      <c r="F2" t="s">
        <v>137</v>
      </c>
      <c r="G2" t="s">
        <v>115</v>
      </c>
      <c r="H2">
        <v>75</v>
      </c>
      <c r="I2" t="s">
        <v>3</v>
      </c>
      <c r="J2" s="4">
        <v>43111.998919999998</v>
      </c>
      <c r="K2">
        <v>533300</v>
      </c>
      <c r="M2" s="14">
        <v>8.5092680000000005</v>
      </c>
      <c r="N2" s="8">
        <f>(1-($D$8*(($B$4-J2)/$B$4)))*$B$8</f>
        <v>6.9282213848259691</v>
      </c>
      <c r="O2" s="8">
        <f>(1-(($B$4-J2)/$B$4))*$B$8</f>
        <v>6.3174360186321641</v>
      </c>
      <c r="Q2" t="s">
        <v>139</v>
      </c>
      <c r="R2" t="s">
        <v>124</v>
      </c>
      <c r="S2">
        <v>99</v>
      </c>
      <c r="T2" t="s">
        <v>54</v>
      </c>
      <c r="U2">
        <v>209107</v>
      </c>
      <c r="V2" s="4">
        <v>56146.002639999999</v>
      </c>
      <c r="W2" s="4"/>
    </row>
    <row r="3" spans="2:27" x14ac:dyDescent="0.3">
      <c r="B3" s="12" t="s">
        <v>126</v>
      </c>
      <c r="C3" s="13" t="s">
        <v>127</v>
      </c>
      <c r="F3" t="s">
        <v>137</v>
      </c>
      <c r="G3" t="s">
        <v>109</v>
      </c>
      <c r="H3">
        <v>83</v>
      </c>
      <c r="I3" t="s">
        <v>18</v>
      </c>
      <c r="J3" s="4">
        <v>48070.000979999997</v>
      </c>
      <c r="K3">
        <v>433465</v>
      </c>
      <c r="M3" s="14">
        <v>8.1883660000000003</v>
      </c>
      <c r="N3" s="8">
        <f t="shared" ref="N3:N42" si="0">(1-($D$8*(($B$4-J3)/$B$4)))*$B$8</f>
        <v>7.4647827025487947</v>
      </c>
      <c r="O3" s="8">
        <f t="shared" ref="O3:O42" si="1">(1-(($B$4-J3)/$B$4))*$B$8</f>
        <v>7.043959065091185</v>
      </c>
      <c r="Q3" t="s">
        <v>139</v>
      </c>
      <c r="R3" t="s">
        <v>119</v>
      </c>
      <c r="S3">
        <v>11</v>
      </c>
      <c r="T3" t="s">
        <v>91</v>
      </c>
      <c r="U3">
        <v>136584</v>
      </c>
      <c r="V3" s="4">
        <v>57331.998780000002</v>
      </c>
      <c r="W3" s="4"/>
      <c r="X3" s="15" t="s">
        <v>136</v>
      </c>
      <c r="Y3" s="22"/>
      <c r="Z3" s="22"/>
      <c r="AA3" s="16"/>
    </row>
    <row r="4" spans="2:27" ht="15" thickBot="1" x14ac:dyDescent="0.35">
      <c r="B4" s="57">
        <v>59053.5</v>
      </c>
      <c r="C4" s="63">
        <f>SUM(V2:V63)/62</f>
        <v>58576.285768548383</v>
      </c>
      <c r="F4" t="s">
        <v>137</v>
      </c>
      <c r="G4" t="s">
        <v>115</v>
      </c>
      <c r="H4">
        <v>73</v>
      </c>
      <c r="I4" t="s">
        <v>19</v>
      </c>
      <c r="J4" s="4">
        <v>48376.99912</v>
      </c>
      <c r="K4">
        <v>393480</v>
      </c>
      <c r="M4" s="14">
        <v>8.9649049999999999</v>
      </c>
      <c r="N4" s="8">
        <f t="shared" si="0"/>
        <v>7.4980064335080474</v>
      </c>
      <c r="O4" s="8">
        <f t="shared" si="1"/>
        <v>7.0889451746633254</v>
      </c>
      <c r="Q4" t="s">
        <v>139</v>
      </c>
      <c r="R4" t="s">
        <v>117</v>
      </c>
      <c r="S4">
        <v>97</v>
      </c>
      <c r="T4" t="s">
        <v>85</v>
      </c>
      <c r="U4">
        <v>219890</v>
      </c>
      <c r="V4" s="4">
        <v>64581.000800000002</v>
      </c>
      <c r="W4" s="4"/>
      <c r="X4" s="12" t="s">
        <v>102</v>
      </c>
      <c r="Y4" s="23">
        <f>(((SUM(U2:U63))*C8)+((SUM(K2:K42))*M44))/(SUM(SUM(U2:U63),SUM(K2:K42)))</f>
        <v>8.5280987028144999</v>
      </c>
      <c r="AA4" s="13"/>
    </row>
    <row r="5" spans="2:27" ht="15" thickBot="1" x14ac:dyDescent="0.35">
      <c r="F5" t="s">
        <v>137</v>
      </c>
      <c r="G5" t="s">
        <v>108</v>
      </c>
      <c r="H5">
        <v>90</v>
      </c>
      <c r="I5" t="s">
        <v>29</v>
      </c>
      <c r="J5" s="4">
        <v>50877.341979999997</v>
      </c>
      <c r="K5">
        <v>329167</v>
      </c>
      <c r="M5" s="14">
        <v>8.4235509999999998</v>
      </c>
      <c r="N5" s="8">
        <f t="shared" si="0"/>
        <v>7.7685967324803018</v>
      </c>
      <c r="O5" s="8">
        <f t="shared" si="1"/>
        <v>7.4553340324846671</v>
      </c>
      <c r="Q5" t="s">
        <v>139</v>
      </c>
      <c r="R5" t="s">
        <v>118</v>
      </c>
      <c r="S5">
        <v>45</v>
      </c>
      <c r="T5" t="s">
        <v>48</v>
      </c>
      <c r="U5">
        <v>128966</v>
      </c>
      <c r="V5" s="4">
        <v>57418.002159999996</v>
      </c>
      <c r="W5" s="4"/>
      <c r="X5" s="12" t="s">
        <v>134</v>
      </c>
      <c r="Y5" s="24">
        <f>(((SUM(U2:U63))*C8)+((SUM(K2:K42))*N44))/(SUM(SUM(U2:U63),SUM(K2:K42)))</f>
        <v>8.2958571551340476</v>
      </c>
      <c r="Z5" s="25">
        <f>Y5-Y4</f>
        <v>-0.23224154768045224</v>
      </c>
      <c r="AA5" s="26">
        <f>((Z5*100)/Y4)</f>
        <v>-2.7232511697338393</v>
      </c>
    </row>
    <row r="6" spans="2:27" ht="15" thickBot="1" x14ac:dyDescent="0.35">
      <c r="B6" s="10" t="s">
        <v>129</v>
      </c>
      <c r="C6" s="51" t="s">
        <v>105</v>
      </c>
      <c r="D6" s="53" t="s">
        <v>146</v>
      </c>
      <c r="F6" t="s">
        <v>137</v>
      </c>
      <c r="G6" t="s">
        <v>109</v>
      </c>
      <c r="H6">
        <v>88</v>
      </c>
      <c r="I6" t="s">
        <v>15</v>
      </c>
      <c r="J6" s="4">
        <v>47430.998460000003</v>
      </c>
      <c r="K6">
        <v>205267</v>
      </c>
      <c r="M6" s="14">
        <v>10.256399999999999</v>
      </c>
      <c r="N6" s="8">
        <f t="shared" si="0"/>
        <v>7.3956290333872694</v>
      </c>
      <c r="O6" s="8">
        <f t="shared" si="1"/>
        <v>6.9503225453989392</v>
      </c>
      <c r="Q6" t="s">
        <v>139</v>
      </c>
      <c r="R6" t="s">
        <v>118</v>
      </c>
      <c r="S6">
        <v>46</v>
      </c>
      <c r="T6" t="s">
        <v>67</v>
      </c>
      <c r="U6">
        <v>251505</v>
      </c>
      <c r="V6" s="4">
        <v>60499.001100000001</v>
      </c>
      <c r="W6" s="4"/>
      <c r="X6" s="27" t="s">
        <v>135</v>
      </c>
      <c r="Y6" s="28">
        <f>(((SUM(U2:U63))*C8)+((SUM(K2:K42))*O44))/(SUM(SUM(U2:U63),SUM(K2:K42)))</f>
        <v>8.1672768049588562</v>
      </c>
      <c r="Z6" s="29">
        <f>Y6-Y4</f>
        <v>-0.36082189785564367</v>
      </c>
      <c r="AA6" s="30">
        <f>((Z6*100)/Y4)</f>
        <v>-4.2309770375495637</v>
      </c>
    </row>
    <row r="7" spans="2:27" x14ac:dyDescent="0.3">
      <c r="B7" s="12" t="s">
        <v>126</v>
      </c>
      <c r="C7" t="s">
        <v>127</v>
      </c>
      <c r="D7" s="52" t="s">
        <v>132</v>
      </c>
      <c r="E7" s="21"/>
      <c r="F7" t="s">
        <v>137</v>
      </c>
      <c r="G7" t="s">
        <v>111</v>
      </c>
      <c r="H7">
        <v>77</v>
      </c>
      <c r="I7" t="s">
        <v>6</v>
      </c>
      <c r="J7" s="4">
        <v>44130.001539999997</v>
      </c>
      <c r="K7">
        <v>133293</v>
      </c>
      <c r="M7" s="14">
        <v>8.0835720000000002</v>
      </c>
      <c r="N7" s="8">
        <f t="shared" si="0"/>
        <v>7.0383909290541311</v>
      </c>
      <c r="O7" s="8">
        <f t="shared" si="1"/>
        <v>6.4666094872663553</v>
      </c>
      <c r="Q7" t="s">
        <v>139</v>
      </c>
      <c r="R7" t="s">
        <v>118</v>
      </c>
      <c r="S7">
        <v>47</v>
      </c>
      <c r="T7" t="s">
        <v>49</v>
      </c>
      <c r="U7">
        <v>186874</v>
      </c>
      <c r="V7" s="4">
        <v>62730.999179999999</v>
      </c>
      <c r="W7" s="4"/>
    </row>
    <row r="8" spans="2:27" ht="15" thickBot="1" x14ac:dyDescent="0.35">
      <c r="B8" s="65">
        <v>8.6534309999999994</v>
      </c>
      <c r="C8" s="66">
        <v>8.6636129999999998</v>
      </c>
      <c r="D8" s="19">
        <v>0.73853310000000005</v>
      </c>
      <c r="F8" t="s">
        <v>137</v>
      </c>
      <c r="G8" t="s">
        <v>113</v>
      </c>
      <c r="H8">
        <v>94</v>
      </c>
      <c r="I8" t="s">
        <v>28</v>
      </c>
      <c r="J8" s="4">
        <v>50439.001340000003</v>
      </c>
      <c r="K8">
        <v>57404</v>
      </c>
      <c r="M8" s="14">
        <v>7.969055</v>
      </c>
      <c r="N8" s="8">
        <f t="shared" si="0"/>
        <v>7.7211589483560523</v>
      </c>
      <c r="O8" s="8">
        <f t="shared" si="1"/>
        <v>7.3911015910081117</v>
      </c>
      <c r="Q8" t="s">
        <v>139</v>
      </c>
      <c r="R8" t="s">
        <v>117</v>
      </c>
      <c r="S8">
        <v>14</v>
      </c>
      <c r="T8" t="s">
        <v>50</v>
      </c>
      <c r="U8">
        <v>119469</v>
      </c>
      <c r="V8" s="4">
        <v>61807</v>
      </c>
      <c r="W8" s="4"/>
    </row>
    <row r="9" spans="2:27" x14ac:dyDescent="0.3">
      <c r="F9" t="s">
        <v>137</v>
      </c>
      <c r="G9" t="s">
        <v>114</v>
      </c>
      <c r="H9">
        <v>79</v>
      </c>
      <c r="I9" t="s">
        <v>9</v>
      </c>
      <c r="J9" s="4">
        <v>45902.0003</v>
      </c>
      <c r="K9">
        <v>243028</v>
      </c>
      <c r="M9" s="14">
        <v>7.801215</v>
      </c>
      <c r="N9" s="8">
        <f t="shared" si="0"/>
        <v>7.2301588989264181</v>
      </c>
      <c r="O9" s="8">
        <f t="shared" si="1"/>
        <v>6.7262701170638364</v>
      </c>
      <c r="Q9" t="s">
        <v>139</v>
      </c>
      <c r="R9" t="s">
        <v>117</v>
      </c>
      <c r="S9">
        <v>12</v>
      </c>
      <c r="T9" t="s">
        <v>93</v>
      </c>
      <c r="U9">
        <v>566812</v>
      </c>
      <c r="V9" s="4">
        <v>54697.998030000002</v>
      </c>
      <c r="W9" s="4"/>
    </row>
    <row r="10" spans="2:27" x14ac:dyDescent="0.3">
      <c r="F10" t="s">
        <v>137</v>
      </c>
      <c r="G10" t="s">
        <v>113</v>
      </c>
      <c r="H10">
        <v>70</v>
      </c>
      <c r="I10" t="s">
        <v>35</v>
      </c>
      <c r="J10" s="4">
        <v>53269.998820000001</v>
      </c>
      <c r="K10">
        <v>148450</v>
      </c>
      <c r="M10" s="14">
        <v>8.1702069999999996</v>
      </c>
      <c r="N10" s="8">
        <f t="shared" si="0"/>
        <v>8.0275331127788068</v>
      </c>
      <c r="O10" s="8">
        <f t="shared" si="1"/>
        <v>7.8059430712650633</v>
      </c>
      <c r="Q10" t="s">
        <v>139</v>
      </c>
      <c r="R10" t="s">
        <v>121</v>
      </c>
      <c r="S10">
        <v>6</v>
      </c>
      <c r="T10" t="s">
        <v>75</v>
      </c>
      <c r="U10">
        <v>270554</v>
      </c>
      <c r="V10" s="4">
        <v>60331.998959999997</v>
      </c>
      <c r="W10" s="4"/>
    </row>
    <row r="11" spans="2:27" x14ac:dyDescent="0.3">
      <c r="F11" t="s">
        <v>137</v>
      </c>
      <c r="G11" t="s">
        <v>109</v>
      </c>
      <c r="H11">
        <v>81</v>
      </c>
      <c r="I11" t="s">
        <v>8</v>
      </c>
      <c r="J11" s="4">
        <v>45741.001060000002</v>
      </c>
      <c r="K11">
        <v>281399</v>
      </c>
      <c r="M11" s="14">
        <v>7.1096050000000002</v>
      </c>
      <c r="N11" s="8">
        <f t="shared" si="0"/>
        <v>7.2127353554665001</v>
      </c>
      <c r="O11" s="8">
        <f t="shared" si="1"/>
        <v>6.7026780215167063</v>
      </c>
      <c r="Q11" t="s">
        <v>139</v>
      </c>
      <c r="R11" t="s">
        <v>124</v>
      </c>
      <c r="S11">
        <v>39</v>
      </c>
      <c r="T11" t="s">
        <v>76</v>
      </c>
      <c r="U11">
        <v>242507</v>
      </c>
      <c r="V11" s="4">
        <v>58207.002009999997</v>
      </c>
      <c r="W11" s="4"/>
    </row>
    <row r="12" spans="2:27" x14ac:dyDescent="0.3">
      <c r="E12" s="21"/>
      <c r="F12" t="s">
        <v>137</v>
      </c>
      <c r="G12" t="s">
        <v>114</v>
      </c>
      <c r="H12">
        <v>80</v>
      </c>
      <c r="I12" t="s">
        <v>4</v>
      </c>
      <c r="J12" s="4">
        <v>43597.999230000001</v>
      </c>
      <c r="K12">
        <v>365530</v>
      </c>
      <c r="M12" s="14">
        <v>8.3960699999999999</v>
      </c>
      <c r="N12" s="8">
        <f t="shared" si="0"/>
        <v>6.9808169593319036</v>
      </c>
      <c r="O12" s="8">
        <f t="shared" si="1"/>
        <v>6.3886522911403745</v>
      </c>
      <c r="Q12" t="s">
        <v>139</v>
      </c>
      <c r="R12" t="s">
        <v>121</v>
      </c>
      <c r="S12">
        <v>103</v>
      </c>
      <c r="T12" t="s">
        <v>143</v>
      </c>
      <c r="U12">
        <v>103880</v>
      </c>
      <c r="V12" s="4">
        <v>58805.999900000003</v>
      </c>
      <c r="W12" s="4"/>
    </row>
    <row r="13" spans="2:27" x14ac:dyDescent="0.3">
      <c r="F13" t="s">
        <v>137</v>
      </c>
      <c r="G13" t="s">
        <v>114</v>
      </c>
      <c r="H13">
        <v>78</v>
      </c>
      <c r="I13" t="s">
        <v>13</v>
      </c>
      <c r="J13" s="4">
        <v>47120.001429999997</v>
      </c>
      <c r="K13">
        <v>484306</v>
      </c>
      <c r="M13" s="14">
        <v>10.46102</v>
      </c>
      <c r="N13" s="8">
        <f t="shared" si="0"/>
        <v>7.3619725374428748</v>
      </c>
      <c r="O13" s="8">
        <f t="shared" si="1"/>
        <v>6.9047504566944591</v>
      </c>
      <c r="Q13" t="s">
        <v>139</v>
      </c>
      <c r="R13" t="s">
        <v>123</v>
      </c>
      <c r="S13">
        <v>30</v>
      </c>
      <c r="T13" t="s">
        <v>65</v>
      </c>
      <c r="U13">
        <v>346310</v>
      </c>
      <c r="V13" s="4">
        <v>51913.000590000003</v>
      </c>
      <c r="W13" s="4"/>
    </row>
    <row r="14" spans="2:27" x14ac:dyDescent="0.3">
      <c r="F14" t="s">
        <v>137</v>
      </c>
      <c r="G14" t="s">
        <v>116</v>
      </c>
      <c r="H14">
        <v>66</v>
      </c>
      <c r="I14" t="s">
        <v>36</v>
      </c>
      <c r="J14" s="4">
        <v>53330.001830000001</v>
      </c>
      <c r="K14">
        <v>201299</v>
      </c>
      <c r="M14" s="14">
        <v>8.0735039999999998</v>
      </c>
      <c r="N14" s="8">
        <f t="shared" si="0"/>
        <v>8.0340267151862541</v>
      </c>
      <c r="O14" s="8">
        <f t="shared" si="1"/>
        <v>7.814735639137032</v>
      </c>
      <c r="Q14" t="s">
        <v>139</v>
      </c>
      <c r="R14" t="s">
        <v>125</v>
      </c>
      <c r="S14">
        <v>55</v>
      </c>
      <c r="T14" t="s">
        <v>46</v>
      </c>
      <c r="U14">
        <v>143504</v>
      </c>
      <c r="V14" s="4">
        <v>55445.99927</v>
      </c>
      <c r="W14" s="4"/>
    </row>
    <row r="15" spans="2:27" x14ac:dyDescent="0.3">
      <c r="F15" t="s">
        <v>137</v>
      </c>
      <c r="G15" t="s">
        <v>109</v>
      </c>
      <c r="H15">
        <v>84</v>
      </c>
      <c r="I15" t="s">
        <v>11</v>
      </c>
      <c r="J15" s="4">
        <v>46672.001349999999</v>
      </c>
      <c r="K15">
        <v>292963</v>
      </c>
      <c r="M15" s="14">
        <v>8.5016200000000008</v>
      </c>
      <c r="N15" s="8">
        <f t="shared" si="0"/>
        <v>7.3134893963800556</v>
      </c>
      <c r="O15" s="8">
        <f t="shared" si="1"/>
        <v>6.8391025648629098</v>
      </c>
      <c r="Q15" t="s">
        <v>139</v>
      </c>
      <c r="R15" t="s">
        <v>122</v>
      </c>
      <c r="S15">
        <v>25</v>
      </c>
      <c r="T15" t="s">
        <v>77</v>
      </c>
      <c r="U15">
        <v>136227</v>
      </c>
      <c r="V15" s="4">
        <v>61690.999170000003</v>
      </c>
      <c r="W15" s="4"/>
    </row>
    <row r="16" spans="2:27" x14ac:dyDescent="0.3">
      <c r="F16" t="s">
        <v>137</v>
      </c>
      <c r="G16" t="s">
        <v>112</v>
      </c>
      <c r="H16">
        <v>59</v>
      </c>
      <c r="I16" t="s">
        <v>37</v>
      </c>
      <c r="J16" s="4">
        <v>53372.998769999998</v>
      </c>
      <c r="K16">
        <v>367438</v>
      </c>
      <c r="M16" s="14">
        <v>8.637969</v>
      </c>
      <c r="N16" s="8">
        <f t="shared" si="0"/>
        <v>8.0386798989698125</v>
      </c>
      <c r="O16" s="8">
        <f t="shared" si="1"/>
        <v>7.821036214945428</v>
      </c>
      <c r="Q16" t="s">
        <v>139</v>
      </c>
      <c r="R16" t="s">
        <v>141</v>
      </c>
      <c r="S16">
        <v>7</v>
      </c>
      <c r="T16" t="s">
        <v>100</v>
      </c>
      <c r="U16">
        <v>82327</v>
      </c>
      <c r="V16" s="4">
        <v>59265.997629999998</v>
      </c>
      <c r="W16" s="4"/>
    </row>
    <row r="17" spans="6:23" x14ac:dyDescent="0.3">
      <c r="F17" t="s">
        <v>137</v>
      </c>
      <c r="G17" t="s">
        <v>116</v>
      </c>
      <c r="H17">
        <v>69</v>
      </c>
      <c r="I17" t="s">
        <v>31</v>
      </c>
      <c r="J17" s="4">
        <v>51390.998659999997</v>
      </c>
      <c r="K17">
        <v>255289</v>
      </c>
      <c r="M17" s="14">
        <v>8.0783100000000001</v>
      </c>
      <c r="N17" s="8">
        <f t="shared" si="0"/>
        <v>7.8241853146839029</v>
      </c>
      <c r="O17" s="8">
        <f t="shared" si="1"/>
        <v>7.5306029435241335</v>
      </c>
      <c r="Q17" t="s">
        <v>139</v>
      </c>
      <c r="R17" t="s">
        <v>119</v>
      </c>
      <c r="S17">
        <v>8</v>
      </c>
      <c r="T17" t="s">
        <v>64</v>
      </c>
      <c r="U17">
        <v>134060</v>
      </c>
      <c r="V17" s="4">
        <v>59054.998090000001</v>
      </c>
      <c r="W17" s="4"/>
    </row>
    <row r="18" spans="6:23" x14ac:dyDescent="0.3">
      <c r="F18" t="s">
        <v>137</v>
      </c>
      <c r="G18" t="s">
        <v>116</v>
      </c>
      <c r="H18">
        <v>67</v>
      </c>
      <c r="I18" t="s">
        <v>24</v>
      </c>
      <c r="J18" s="4">
        <v>49817.001320000003</v>
      </c>
      <c r="K18">
        <v>203479</v>
      </c>
      <c r="M18" s="14">
        <v>8.2805569999999999</v>
      </c>
      <c r="N18" s="8">
        <f t="shared" si="0"/>
        <v>7.6538453114684506</v>
      </c>
      <c r="O18" s="8">
        <f t="shared" si="1"/>
        <v>7.2999565402478925</v>
      </c>
      <c r="Q18" t="s">
        <v>139</v>
      </c>
      <c r="R18" t="s">
        <v>118</v>
      </c>
      <c r="S18">
        <v>49</v>
      </c>
      <c r="T18" t="s">
        <v>53</v>
      </c>
      <c r="U18">
        <v>214406</v>
      </c>
      <c r="V18" s="4">
        <v>54041.998910000002</v>
      </c>
      <c r="W18" s="4"/>
    </row>
    <row r="19" spans="6:23" x14ac:dyDescent="0.3">
      <c r="F19" t="s">
        <v>137</v>
      </c>
      <c r="G19" t="s">
        <v>110</v>
      </c>
      <c r="H19">
        <v>61</v>
      </c>
      <c r="I19" t="s">
        <v>17</v>
      </c>
      <c r="J19" s="4">
        <v>47826.999969999997</v>
      </c>
      <c r="K19">
        <v>615738</v>
      </c>
      <c r="M19" s="14">
        <v>8.2287470000000003</v>
      </c>
      <c r="N19" s="8">
        <f t="shared" si="0"/>
        <v>7.438484822766636</v>
      </c>
      <c r="O19" s="8">
        <f t="shared" si="1"/>
        <v>7.0083508035492734</v>
      </c>
      <c r="Q19" t="s">
        <v>139</v>
      </c>
      <c r="R19" t="s">
        <v>118</v>
      </c>
      <c r="S19">
        <v>51</v>
      </c>
      <c r="T19" t="s">
        <v>51</v>
      </c>
      <c r="U19">
        <v>222850</v>
      </c>
      <c r="V19" s="4">
        <v>53812.999709999996</v>
      </c>
      <c r="W19" s="4"/>
    </row>
    <row r="20" spans="6:23" x14ac:dyDescent="0.3">
      <c r="F20" t="s">
        <v>137</v>
      </c>
      <c r="G20" t="s">
        <v>109</v>
      </c>
      <c r="H20">
        <v>86</v>
      </c>
      <c r="I20" t="s">
        <v>26</v>
      </c>
      <c r="J20" s="4">
        <v>49821.000659999998</v>
      </c>
      <c r="K20">
        <v>113862</v>
      </c>
      <c r="M20" s="14">
        <v>8.335915</v>
      </c>
      <c r="N20" s="8">
        <f t="shared" si="0"/>
        <v>7.6542781251531666</v>
      </c>
      <c r="O20" s="8">
        <f t="shared" si="1"/>
        <v>7.3005425853211818</v>
      </c>
      <c r="Q20" t="s">
        <v>139</v>
      </c>
      <c r="R20" t="s">
        <v>124</v>
      </c>
      <c r="S20">
        <v>40</v>
      </c>
      <c r="T20" t="s">
        <v>60</v>
      </c>
      <c r="U20">
        <v>249942</v>
      </c>
      <c r="V20" s="4">
        <v>74226.316290000002</v>
      </c>
      <c r="W20" s="4"/>
    </row>
    <row r="21" spans="6:23" x14ac:dyDescent="0.3">
      <c r="F21" t="s">
        <v>137</v>
      </c>
      <c r="G21" t="s">
        <v>110</v>
      </c>
      <c r="H21">
        <v>65</v>
      </c>
      <c r="I21" t="s">
        <v>5</v>
      </c>
      <c r="J21" s="4">
        <v>44124.001149999996</v>
      </c>
      <c r="K21">
        <v>736822</v>
      </c>
      <c r="M21" s="14">
        <v>8.626341</v>
      </c>
      <c r="N21" s="8">
        <f t="shared" si="0"/>
        <v>7.0377415591816934</v>
      </c>
      <c r="O21" s="8">
        <f t="shared" si="1"/>
        <v>6.4657302174375033</v>
      </c>
      <c r="Q21" t="s">
        <v>139</v>
      </c>
      <c r="R21" t="s">
        <v>119</v>
      </c>
      <c r="S21">
        <v>10</v>
      </c>
      <c r="T21" t="s">
        <v>99</v>
      </c>
      <c r="U21">
        <v>531081</v>
      </c>
      <c r="V21" s="4">
        <v>60767.998970000001</v>
      </c>
      <c r="W21" s="4"/>
    </row>
    <row r="22" spans="6:23" x14ac:dyDescent="0.3">
      <c r="F22" t="s">
        <v>137</v>
      </c>
      <c r="G22" t="s">
        <v>112</v>
      </c>
      <c r="H22">
        <v>58</v>
      </c>
      <c r="I22" t="s">
        <v>41</v>
      </c>
      <c r="J22" s="4">
        <v>67006.001409999997</v>
      </c>
      <c r="K22">
        <v>2635277</v>
      </c>
      <c r="M22" s="14">
        <v>8.1624160000000003</v>
      </c>
      <c r="N22" s="8">
        <f t="shared" si="0"/>
        <v>9.5140608634216832</v>
      </c>
      <c r="O22" s="8">
        <f t="shared" si="1"/>
        <v>9.8187543462680047</v>
      </c>
      <c r="Q22" t="s">
        <v>139</v>
      </c>
      <c r="R22" t="s">
        <v>121</v>
      </c>
      <c r="S22">
        <v>2</v>
      </c>
      <c r="T22" t="s">
        <v>59</v>
      </c>
      <c r="U22">
        <v>112681</v>
      </c>
      <c r="V22" s="4">
        <v>54251.000260000001</v>
      </c>
      <c r="W22" s="4"/>
    </row>
    <row r="23" spans="6:23" x14ac:dyDescent="0.3">
      <c r="F23" t="s">
        <v>137</v>
      </c>
      <c r="G23" t="s">
        <v>116</v>
      </c>
      <c r="H23">
        <v>68</v>
      </c>
      <c r="I23" t="s">
        <v>40</v>
      </c>
      <c r="J23" s="4">
        <v>55695.000189999999</v>
      </c>
      <c r="K23">
        <v>207068</v>
      </c>
      <c r="M23" s="14">
        <v>8.0050989999999995</v>
      </c>
      <c r="N23" s="8">
        <f t="shared" si="0"/>
        <v>8.2899698594401947</v>
      </c>
      <c r="O23" s="8">
        <f t="shared" si="1"/>
        <v>8.1612917301963783</v>
      </c>
      <c r="Q23" t="s">
        <v>139</v>
      </c>
      <c r="R23" t="s">
        <v>122</v>
      </c>
      <c r="S23">
        <v>26</v>
      </c>
      <c r="T23" t="s">
        <v>73</v>
      </c>
      <c r="U23">
        <v>576591</v>
      </c>
      <c r="V23" s="4">
        <v>51676.99901</v>
      </c>
      <c r="W23" s="4"/>
    </row>
    <row r="24" spans="6:23" x14ac:dyDescent="0.3">
      <c r="F24" t="s">
        <v>137</v>
      </c>
      <c r="G24" t="s">
        <v>112</v>
      </c>
      <c r="H24">
        <v>56</v>
      </c>
      <c r="I24" t="s">
        <v>38</v>
      </c>
      <c r="J24" s="4">
        <v>53784.001450000003</v>
      </c>
      <c r="K24">
        <v>205532</v>
      </c>
      <c r="M24" s="14">
        <v>8.7331020000000006</v>
      </c>
      <c r="N24" s="8">
        <f t="shared" si="0"/>
        <v>8.0831591341334246</v>
      </c>
      <c r="O24" s="8">
        <f t="shared" si="1"/>
        <v>7.8812626762423053</v>
      </c>
      <c r="Q24" t="s">
        <v>139</v>
      </c>
      <c r="R24" t="s">
        <v>121</v>
      </c>
      <c r="S24">
        <v>4</v>
      </c>
      <c r="T24" t="s">
        <v>70</v>
      </c>
      <c r="U24">
        <v>374095</v>
      </c>
      <c r="V24" s="4">
        <v>61450.002760000003</v>
      </c>
      <c r="W24" s="4"/>
    </row>
    <row r="25" spans="6:23" x14ac:dyDescent="0.3">
      <c r="F25" t="s">
        <v>137</v>
      </c>
      <c r="G25" t="s">
        <v>109</v>
      </c>
      <c r="H25">
        <v>87</v>
      </c>
      <c r="I25" t="s">
        <v>25</v>
      </c>
      <c r="J25" s="4">
        <v>49818.999259999997</v>
      </c>
      <c r="K25">
        <v>729185</v>
      </c>
      <c r="M25" s="14">
        <v>8.1444670000000006</v>
      </c>
      <c r="N25" s="8">
        <f t="shared" si="0"/>
        <v>7.654061531087998</v>
      </c>
      <c r="O25" s="8">
        <f t="shared" si="1"/>
        <v>7.3002493092782137</v>
      </c>
      <c r="Q25" t="s">
        <v>139</v>
      </c>
      <c r="R25" t="s">
        <v>120</v>
      </c>
      <c r="S25">
        <v>41</v>
      </c>
      <c r="T25" t="s">
        <v>43</v>
      </c>
      <c r="U25">
        <v>234812</v>
      </c>
      <c r="V25" s="4">
        <v>60175.002289999997</v>
      </c>
      <c r="W25" s="4"/>
    </row>
    <row r="26" spans="6:23" x14ac:dyDescent="0.3">
      <c r="F26" t="s">
        <v>137</v>
      </c>
      <c r="G26" t="s">
        <v>115</v>
      </c>
      <c r="H26">
        <v>72</v>
      </c>
      <c r="I26" t="s">
        <v>12</v>
      </c>
      <c r="J26" s="4">
        <v>47099.036289999996</v>
      </c>
      <c r="K26">
        <v>1106716</v>
      </c>
      <c r="M26" s="14">
        <v>8.3868229999999997</v>
      </c>
      <c r="N26" s="8">
        <f t="shared" si="0"/>
        <v>7.3597036632051251</v>
      </c>
      <c r="O26" s="8">
        <f t="shared" si="1"/>
        <v>6.9016783205400349</v>
      </c>
      <c r="Q26" t="s">
        <v>139</v>
      </c>
      <c r="R26" t="s">
        <v>117</v>
      </c>
      <c r="S26">
        <v>13</v>
      </c>
      <c r="T26" t="s">
        <v>78</v>
      </c>
      <c r="U26">
        <v>384111</v>
      </c>
      <c r="V26" s="4">
        <v>59562.997040000002</v>
      </c>
      <c r="W26" s="4"/>
    </row>
    <row r="27" spans="6:23" x14ac:dyDescent="0.3">
      <c r="F27" t="s">
        <v>137</v>
      </c>
      <c r="G27" t="s">
        <v>112</v>
      </c>
      <c r="H27">
        <v>60</v>
      </c>
      <c r="I27" t="s">
        <v>33</v>
      </c>
      <c r="J27" s="4">
        <v>51494.999839999997</v>
      </c>
      <c r="K27">
        <v>331729</v>
      </c>
      <c r="M27" s="14">
        <v>8.2219420000000003</v>
      </c>
      <c r="N27" s="8">
        <f t="shared" si="0"/>
        <v>7.8354404552647701</v>
      </c>
      <c r="O27" s="8">
        <f t="shared" si="1"/>
        <v>7.5458428028897693</v>
      </c>
      <c r="Q27" t="s">
        <v>139</v>
      </c>
      <c r="R27" t="s">
        <v>118</v>
      </c>
      <c r="S27">
        <v>53</v>
      </c>
      <c r="T27" t="s">
        <v>44</v>
      </c>
      <c r="U27">
        <v>142323</v>
      </c>
      <c r="V27" s="4">
        <v>62213.001450000003</v>
      </c>
      <c r="W27" s="4"/>
    </row>
    <row r="28" spans="6:23" x14ac:dyDescent="0.3">
      <c r="F28" t="s">
        <v>137</v>
      </c>
      <c r="G28" t="s">
        <v>109</v>
      </c>
      <c r="H28">
        <v>89</v>
      </c>
      <c r="I28" t="s">
        <v>39</v>
      </c>
      <c r="J28" s="4">
        <v>54269.001400000001</v>
      </c>
      <c r="K28">
        <v>271777</v>
      </c>
      <c r="M28" s="14">
        <v>8.2902719999999999</v>
      </c>
      <c r="N28" s="8">
        <f t="shared" si="0"/>
        <v>8.1356464484020083</v>
      </c>
      <c r="O28" s="8">
        <f t="shared" si="1"/>
        <v>7.9523323605510834</v>
      </c>
      <c r="Q28" t="s">
        <v>139</v>
      </c>
      <c r="R28" t="s">
        <v>122</v>
      </c>
      <c r="S28">
        <v>27</v>
      </c>
      <c r="T28" t="s">
        <v>86</v>
      </c>
      <c r="U28">
        <v>551334</v>
      </c>
      <c r="V28" s="4">
        <v>61955.99843</v>
      </c>
      <c r="W28" s="4"/>
    </row>
    <row r="29" spans="6:23" x14ac:dyDescent="0.3">
      <c r="F29" t="s">
        <v>137</v>
      </c>
      <c r="G29" t="s">
        <v>108</v>
      </c>
      <c r="H29">
        <v>91</v>
      </c>
      <c r="I29" t="s">
        <v>7</v>
      </c>
      <c r="J29" s="4">
        <v>44719.979480000002</v>
      </c>
      <c r="K29">
        <v>145013</v>
      </c>
      <c r="M29" s="14">
        <v>7.7722069999999999</v>
      </c>
      <c r="N29" s="8">
        <f t="shared" si="0"/>
        <v>7.1022390955298427</v>
      </c>
      <c r="O29" s="8">
        <f t="shared" si="1"/>
        <v>6.5530621682304329</v>
      </c>
      <c r="Q29" t="s">
        <v>139</v>
      </c>
      <c r="R29" t="s">
        <v>121</v>
      </c>
      <c r="S29">
        <v>1</v>
      </c>
      <c r="T29" t="s">
        <v>92</v>
      </c>
      <c r="U29">
        <v>1457595</v>
      </c>
      <c r="V29" s="4">
        <v>63414.999219999998</v>
      </c>
      <c r="W29" s="4"/>
    </row>
    <row r="30" spans="6:23" x14ac:dyDescent="0.3">
      <c r="F30" t="s">
        <v>137</v>
      </c>
      <c r="G30" t="s">
        <v>112</v>
      </c>
      <c r="H30">
        <v>57</v>
      </c>
      <c r="I30" t="s">
        <v>20</v>
      </c>
      <c r="J30" s="4">
        <v>48616.998910000002</v>
      </c>
      <c r="K30">
        <v>101642</v>
      </c>
      <c r="M30" s="14">
        <v>8.7141959999999994</v>
      </c>
      <c r="N30" s="8">
        <f t="shared" si="0"/>
        <v>7.5239795174271773</v>
      </c>
      <c r="O30" s="8">
        <f t="shared" si="1"/>
        <v>7.1241136510919789</v>
      </c>
      <c r="Q30" t="s">
        <v>139</v>
      </c>
      <c r="R30" t="s">
        <v>117</v>
      </c>
      <c r="S30">
        <v>98</v>
      </c>
      <c r="T30" t="s">
        <v>84</v>
      </c>
      <c r="U30">
        <v>148772</v>
      </c>
      <c r="V30" s="4">
        <v>62043.000469999999</v>
      </c>
      <c r="W30" s="4"/>
    </row>
    <row r="31" spans="6:23" x14ac:dyDescent="0.3">
      <c r="F31" t="s">
        <v>137</v>
      </c>
      <c r="G31" t="s">
        <v>114</v>
      </c>
      <c r="H31">
        <v>102</v>
      </c>
      <c r="I31" t="s">
        <v>2</v>
      </c>
      <c r="J31" s="4">
        <v>42730.999109999997</v>
      </c>
      <c r="K31">
        <v>108768</v>
      </c>
      <c r="M31" s="14">
        <v>8.3472480000000004</v>
      </c>
      <c r="N31" s="8">
        <f t="shared" si="0"/>
        <v>6.8869890985881241</v>
      </c>
      <c r="O31" s="8">
        <f t="shared" si="1"/>
        <v>6.2616060412921568</v>
      </c>
      <c r="Q31" t="s">
        <v>139</v>
      </c>
      <c r="R31" t="s">
        <v>124</v>
      </c>
      <c r="S31">
        <v>34</v>
      </c>
      <c r="T31" t="s">
        <v>80</v>
      </c>
      <c r="U31">
        <v>274278</v>
      </c>
      <c r="V31" s="4">
        <v>59591.999819999997</v>
      </c>
      <c r="W31" s="4"/>
    </row>
    <row r="32" spans="6:23" x14ac:dyDescent="0.3">
      <c r="F32" t="s">
        <v>137</v>
      </c>
      <c r="G32" t="s">
        <v>114</v>
      </c>
      <c r="H32">
        <v>101</v>
      </c>
      <c r="I32" t="s">
        <v>22</v>
      </c>
      <c r="J32" s="4">
        <v>49212.999810000001</v>
      </c>
      <c r="K32">
        <v>114185</v>
      </c>
      <c r="M32" s="14">
        <v>8.0711180000000002</v>
      </c>
      <c r="N32" s="8">
        <f t="shared" si="0"/>
        <v>7.5884794963295645</v>
      </c>
      <c r="O32" s="8">
        <f t="shared" si="1"/>
        <v>7.2114489091899401</v>
      </c>
      <c r="Q32" t="s">
        <v>139</v>
      </c>
      <c r="R32" t="s">
        <v>124</v>
      </c>
      <c r="S32">
        <v>36</v>
      </c>
      <c r="T32" t="s">
        <v>96</v>
      </c>
      <c r="U32">
        <v>443750</v>
      </c>
      <c r="V32" s="4">
        <v>56863.001129999997</v>
      </c>
      <c r="W32" s="4"/>
    </row>
    <row r="33" spans="6:23" x14ac:dyDescent="0.3">
      <c r="F33" t="s">
        <v>137</v>
      </c>
      <c r="G33" t="s">
        <v>110</v>
      </c>
      <c r="H33">
        <v>62</v>
      </c>
      <c r="I33" t="s">
        <v>1</v>
      </c>
      <c r="J33" s="4">
        <v>42534.001360000002</v>
      </c>
      <c r="K33">
        <v>187692</v>
      </c>
      <c r="M33" s="14">
        <v>8.5350970000000004</v>
      </c>
      <c r="N33" s="8">
        <f t="shared" si="0"/>
        <v>6.8656697503810697</v>
      </c>
      <c r="O33" s="8">
        <f t="shared" si="1"/>
        <v>6.2327388880026779</v>
      </c>
      <c r="Q33" t="s">
        <v>139</v>
      </c>
      <c r="R33" t="s">
        <v>124</v>
      </c>
      <c r="S33">
        <v>33</v>
      </c>
      <c r="T33" t="s">
        <v>62</v>
      </c>
      <c r="U33">
        <v>179452</v>
      </c>
      <c r="V33" s="4">
        <v>60148.001029999999</v>
      </c>
      <c r="W33" s="4"/>
    </row>
    <row r="34" spans="6:23" x14ac:dyDescent="0.3">
      <c r="F34" t="s">
        <v>137</v>
      </c>
      <c r="G34" t="s">
        <v>108</v>
      </c>
      <c r="H34">
        <v>95</v>
      </c>
      <c r="I34" t="s">
        <v>16</v>
      </c>
      <c r="J34" s="4">
        <v>47728.998639999998</v>
      </c>
      <c r="K34">
        <v>109637</v>
      </c>
      <c r="M34" s="14">
        <v>8.3905089999999998</v>
      </c>
      <c r="N34" s="8">
        <f t="shared" si="0"/>
        <v>7.4278789936187168</v>
      </c>
      <c r="O34" s="8">
        <f t="shared" si="1"/>
        <v>6.9939901348833473</v>
      </c>
      <c r="Q34" t="s">
        <v>139</v>
      </c>
      <c r="R34" t="s">
        <v>123</v>
      </c>
      <c r="S34">
        <v>32</v>
      </c>
      <c r="T34" t="s">
        <v>87</v>
      </c>
      <c r="U34">
        <v>142512</v>
      </c>
      <c r="V34" s="4">
        <v>54329.998809999997</v>
      </c>
      <c r="W34" s="4"/>
    </row>
    <row r="35" spans="6:23" x14ac:dyDescent="0.3">
      <c r="F35" t="s">
        <v>137</v>
      </c>
      <c r="G35" t="s">
        <v>108</v>
      </c>
      <c r="H35">
        <v>92</v>
      </c>
      <c r="I35" t="s">
        <v>21</v>
      </c>
      <c r="J35" s="4">
        <v>48976.35974</v>
      </c>
      <c r="K35">
        <v>543605</v>
      </c>
      <c r="M35" s="14">
        <v>8.2386529999999993</v>
      </c>
      <c r="N35" s="8">
        <f t="shared" si="0"/>
        <v>7.5628700056015141</v>
      </c>
      <c r="O35" s="8">
        <f t="shared" si="1"/>
        <v>7.1767727508321757</v>
      </c>
      <c r="Q35" t="s">
        <v>139</v>
      </c>
      <c r="R35" t="s">
        <v>118</v>
      </c>
      <c r="S35">
        <v>48</v>
      </c>
      <c r="T35" t="s">
        <v>89</v>
      </c>
      <c r="U35">
        <v>616282</v>
      </c>
      <c r="V35" s="4">
        <v>55149.99972</v>
      </c>
      <c r="W35" s="4"/>
    </row>
    <row r="36" spans="6:23" x14ac:dyDescent="0.3">
      <c r="F36" t="s">
        <v>137</v>
      </c>
      <c r="G36" t="s">
        <v>111</v>
      </c>
      <c r="H36">
        <v>76</v>
      </c>
      <c r="I36" t="s">
        <v>32</v>
      </c>
      <c r="J36" s="4">
        <v>51417.0003</v>
      </c>
      <c r="K36">
        <v>251245</v>
      </c>
      <c r="M36" s="14">
        <v>8.1120990000000006</v>
      </c>
      <c r="N36" s="8">
        <f t="shared" si="0"/>
        <v>7.8269992453867383</v>
      </c>
      <c r="O36" s="8">
        <f t="shared" si="1"/>
        <v>7.5344131054557186</v>
      </c>
      <c r="Q36" t="s">
        <v>139</v>
      </c>
      <c r="R36" t="s">
        <v>122</v>
      </c>
      <c r="S36">
        <v>28</v>
      </c>
      <c r="T36" t="s">
        <v>74</v>
      </c>
      <c r="U36">
        <v>606790</v>
      </c>
      <c r="V36" s="4">
        <v>58617.998010000003</v>
      </c>
      <c r="W36" s="4"/>
    </row>
    <row r="37" spans="6:23" x14ac:dyDescent="0.3">
      <c r="F37" t="s">
        <v>137</v>
      </c>
      <c r="G37" t="s">
        <v>109</v>
      </c>
      <c r="H37">
        <v>85</v>
      </c>
      <c r="I37" t="s">
        <v>27</v>
      </c>
      <c r="J37" s="4">
        <v>49846.000670000001</v>
      </c>
      <c r="K37">
        <v>179443</v>
      </c>
      <c r="M37" s="14">
        <v>8.0023510000000009</v>
      </c>
      <c r="N37" s="8">
        <f t="shared" si="0"/>
        <v>7.65698365817763</v>
      </c>
      <c r="O37" s="8">
        <f t="shared" si="1"/>
        <v>7.3042059729533175</v>
      </c>
      <c r="Q37" t="s">
        <v>139</v>
      </c>
      <c r="R37" t="s">
        <v>122</v>
      </c>
      <c r="S37">
        <v>29</v>
      </c>
      <c r="T37" t="s">
        <v>58</v>
      </c>
      <c r="U37">
        <v>160497</v>
      </c>
      <c r="V37" s="4">
        <v>53446.408170000002</v>
      </c>
      <c r="W37" s="4"/>
    </row>
    <row r="38" spans="6:23" x14ac:dyDescent="0.3">
      <c r="F38" t="s">
        <v>137</v>
      </c>
      <c r="G38" t="s">
        <v>110</v>
      </c>
      <c r="H38">
        <v>63</v>
      </c>
      <c r="I38" t="s">
        <v>30</v>
      </c>
      <c r="J38" s="4">
        <v>51025.998240000001</v>
      </c>
      <c r="K38">
        <v>2087178</v>
      </c>
      <c r="M38" s="14">
        <v>8.3610710000000008</v>
      </c>
      <c r="N38" s="8">
        <f t="shared" si="0"/>
        <v>7.7846845028741187</v>
      </c>
      <c r="O38" s="8">
        <f t="shared" si="1"/>
        <v>7.4771174439442447</v>
      </c>
      <c r="Q38" t="s">
        <v>139</v>
      </c>
      <c r="R38" t="s">
        <v>140</v>
      </c>
      <c r="S38">
        <v>21</v>
      </c>
      <c r="T38" t="s">
        <v>98</v>
      </c>
      <c r="U38">
        <v>325568</v>
      </c>
      <c r="V38" s="4">
        <v>59051.998809999997</v>
      </c>
      <c r="W38" s="4"/>
    </row>
    <row r="39" spans="6:23" x14ac:dyDescent="0.3">
      <c r="F39" t="s">
        <v>137</v>
      </c>
      <c r="G39" t="s">
        <v>115</v>
      </c>
      <c r="H39">
        <v>71</v>
      </c>
      <c r="I39" t="s">
        <v>14</v>
      </c>
      <c r="J39" s="4">
        <v>47176.9997</v>
      </c>
      <c r="K39">
        <v>421622</v>
      </c>
      <c r="M39" s="14">
        <v>8.3921749999999999</v>
      </c>
      <c r="N39" s="8">
        <f t="shared" si="0"/>
        <v>7.3681409630483943</v>
      </c>
      <c r="O39" s="8">
        <f t="shared" si="1"/>
        <v>6.9131027236483975</v>
      </c>
      <c r="Q39" t="s">
        <v>139</v>
      </c>
      <c r="R39" t="s">
        <v>120</v>
      </c>
      <c r="S39">
        <v>43</v>
      </c>
      <c r="T39" t="s">
        <v>42</v>
      </c>
      <c r="U39">
        <v>203544</v>
      </c>
      <c r="V39" s="4">
        <v>56101.000070000002</v>
      </c>
      <c r="W39" s="4"/>
    </row>
    <row r="40" spans="6:23" x14ac:dyDescent="0.3">
      <c r="F40" t="s">
        <v>137</v>
      </c>
      <c r="G40" t="s">
        <v>115</v>
      </c>
      <c r="H40">
        <v>74</v>
      </c>
      <c r="I40" t="s">
        <v>23</v>
      </c>
      <c r="J40" s="4">
        <v>49439.997990000003</v>
      </c>
      <c r="K40">
        <v>269042</v>
      </c>
      <c r="M40" s="14">
        <v>8.6219959999999993</v>
      </c>
      <c r="N40" s="8">
        <f t="shared" si="0"/>
        <v>7.6130455294024681</v>
      </c>
      <c r="O40" s="8">
        <f t="shared" si="1"/>
        <v>7.2447121888897987</v>
      </c>
      <c r="Q40" t="s">
        <v>139</v>
      </c>
      <c r="R40" t="s">
        <v>117</v>
      </c>
      <c r="S40">
        <v>20</v>
      </c>
      <c r="T40" t="s">
        <v>68</v>
      </c>
      <c r="U40">
        <v>263559</v>
      </c>
      <c r="V40" s="4">
        <v>63687.00088</v>
      </c>
      <c r="W40" s="4"/>
    </row>
    <row r="41" spans="6:23" x14ac:dyDescent="0.3">
      <c r="F41" t="s">
        <v>137</v>
      </c>
      <c r="G41" t="s">
        <v>109</v>
      </c>
      <c r="H41">
        <v>82</v>
      </c>
      <c r="I41" t="s">
        <v>34</v>
      </c>
      <c r="J41" s="4">
        <v>52973.997280000003</v>
      </c>
      <c r="K41">
        <v>829975</v>
      </c>
      <c r="M41" s="14">
        <v>8.0565999999999995</v>
      </c>
      <c r="N41" s="8">
        <f t="shared" si="0"/>
        <v>7.9954994479218016</v>
      </c>
      <c r="O41" s="8">
        <f t="shared" si="1"/>
        <v>7.762568353385789</v>
      </c>
      <c r="Q41" t="s">
        <v>139</v>
      </c>
      <c r="R41" t="s">
        <v>124</v>
      </c>
      <c r="S41">
        <v>37</v>
      </c>
      <c r="T41" t="s">
        <v>95</v>
      </c>
      <c r="U41">
        <v>615802</v>
      </c>
      <c r="V41" s="4">
        <v>54397.001730000004</v>
      </c>
      <c r="W41" s="4"/>
    </row>
    <row r="42" spans="6:23" x14ac:dyDescent="0.3">
      <c r="F42" t="s">
        <v>137</v>
      </c>
      <c r="G42" t="s">
        <v>110</v>
      </c>
      <c r="H42">
        <v>64</v>
      </c>
      <c r="I42" t="s">
        <v>10</v>
      </c>
      <c r="J42" s="4">
        <v>46468.9997</v>
      </c>
      <c r="K42">
        <v>289200</v>
      </c>
      <c r="M42" s="14">
        <v>8.1043439999999993</v>
      </c>
      <c r="N42" s="8">
        <f t="shared" si="0"/>
        <v>7.2915202984438787</v>
      </c>
      <c r="O42" s="8">
        <f t="shared" si="1"/>
        <v>6.8093556274051608</v>
      </c>
      <c r="Q42" t="s">
        <v>139</v>
      </c>
      <c r="R42" t="s">
        <v>117</v>
      </c>
      <c r="S42">
        <v>15</v>
      </c>
      <c r="T42" t="s">
        <v>101</v>
      </c>
      <c r="U42">
        <v>2509154</v>
      </c>
      <c r="V42" s="4">
        <v>57082.001230000002</v>
      </c>
      <c r="W42" s="4"/>
    </row>
    <row r="43" spans="6:23" ht="15" thickBot="1" x14ac:dyDescent="0.35">
      <c r="Q43" t="s">
        <v>139</v>
      </c>
      <c r="R43" t="s">
        <v>140</v>
      </c>
      <c r="S43">
        <v>22</v>
      </c>
      <c r="T43" t="s">
        <v>94</v>
      </c>
      <c r="U43">
        <v>338705</v>
      </c>
      <c r="V43" s="4">
        <v>53368.001400000001</v>
      </c>
      <c r="W43" s="4"/>
    </row>
    <row r="44" spans="6:23" x14ac:dyDescent="0.3">
      <c r="M44" s="31">
        <f>SUMPRODUCT(K2:K42, M2:M42)/SUM(K2:K42)</f>
        <v>8.3617446625901319</v>
      </c>
      <c r="N44" s="32">
        <f>SUMPRODUCT(K2:K42, N2:N42)/SUM(K2:K42)</f>
        <v>7.8444090653001526</v>
      </c>
      <c r="O44" s="33">
        <f>SUMPRODUCT(K2:K42, O2:O42)/SUM(K2:K42)</f>
        <v>7.5579866188343559</v>
      </c>
      <c r="Q44" t="s">
        <v>139</v>
      </c>
      <c r="R44" t="s">
        <v>124</v>
      </c>
      <c r="S44">
        <v>35</v>
      </c>
      <c r="T44" t="s">
        <v>142</v>
      </c>
      <c r="U44">
        <v>335020</v>
      </c>
      <c r="V44" s="4">
        <v>60683.000319999999</v>
      </c>
      <c r="W44" s="4"/>
    </row>
    <row r="45" spans="6:23" ht="15" thickBot="1" x14ac:dyDescent="0.35">
      <c r="M45" s="27"/>
      <c r="N45" s="29">
        <f>N44-M44</f>
        <v>-0.51733559728997935</v>
      </c>
      <c r="O45" s="34">
        <f>O44-M44</f>
        <v>-0.80375804375577609</v>
      </c>
      <c r="Q45" t="s">
        <v>139</v>
      </c>
      <c r="R45" t="s">
        <v>120</v>
      </c>
      <c r="S45">
        <v>42</v>
      </c>
      <c r="T45" t="s">
        <v>57</v>
      </c>
      <c r="U45">
        <v>301903</v>
      </c>
      <c r="V45" s="4">
        <v>61853.00114</v>
      </c>
      <c r="W45" s="4"/>
    </row>
    <row r="46" spans="6:23" x14ac:dyDescent="0.3">
      <c r="Q46" t="s">
        <v>139</v>
      </c>
      <c r="R46" t="s">
        <v>121</v>
      </c>
      <c r="S46">
        <v>96</v>
      </c>
      <c r="T46" t="s">
        <v>66</v>
      </c>
      <c r="U46">
        <v>115824</v>
      </c>
      <c r="V46" s="4">
        <v>63603.997660000001</v>
      </c>
      <c r="W46" s="4"/>
    </row>
    <row r="47" spans="6:23" x14ac:dyDescent="0.3">
      <c r="Q47" t="s">
        <v>139</v>
      </c>
      <c r="R47" t="s">
        <v>117</v>
      </c>
      <c r="S47">
        <v>17</v>
      </c>
      <c r="T47" t="s">
        <v>83</v>
      </c>
      <c r="U47">
        <v>812741</v>
      </c>
      <c r="V47" s="4">
        <v>59158.002240000002</v>
      </c>
      <c r="W47" s="4"/>
    </row>
    <row r="48" spans="6:23" x14ac:dyDescent="0.3">
      <c r="Q48" t="s">
        <v>139</v>
      </c>
      <c r="R48" t="s">
        <v>118</v>
      </c>
      <c r="S48">
        <v>100</v>
      </c>
      <c r="T48" t="s">
        <v>52</v>
      </c>
      <c r="U48">
        <v>162164</v>
      </c>
      <c r="V48" s="4">
        <v>53932.000910000002</v>
      </c>
      <c r="W48" s="4"/>
    </row>
    <row r="49" spans="17:23" x14ac:dyDescent="0.3">
      <c r="Q49" t="s">
        <v>139</v>
      </c>
      <c r="R49" t="s">
        <v>121</v>
      </c>
      <c r="S49">
        <v>3</v>
      </c>
      <c r="T49" t="s">
        <v>81</v>
      </c>
      <c r="U49">
        <v>238850</v>
      </c>
      <c r="V49" s="4">
        <v>50929.000290000004</v>
      </c>
      <c r="W49" s="4"/>
    </row>
    <row r="50" spans="17:23" x14ac:dyDescent="0.3">
      <c r="Q50" t="s">
        <v>139</v>
      </c>
      <c r="R50" t="s">
        <v>123</v>
      </c>
      <c r="S50">
        <v>31</v>
      </c>
      <c r="T50" t="s">
        <v>79</v>
      </c>
      <c r="U50">
        <v>88518</v>
      </c>
      <c r="V50" s="4">
        <v>63126.001459999999</v>
      </c>
      <c r="W50" s="4"/>
    </row>
    <row r="51" spans="17:23" x14ac:dyDescent="0.3">
      <c r="Q51" t="s">
        <v>139</v>
      </c>
      <c r="R51" t="s">
        <v>117</v>
      </c>
      <c r="S51">
        <v>18</v>
      </c>
      <c r="T51" t="s">
        <v>69</v>
      </c>
      <c r="U51">
        <v>347154</v>
      </c>
      <c r="V51" s="4">
        <v>60356.99828</v>
      </c>
      <c r="W51" s="4"/>
    </row>
    <row r="52" spans="17:23" x14ac:dyDescent="0.3">
      <c r="Q52" t="s">
        <v>139</v>
      </c>
      <c r="R52" t="s">
        <v>118</v>
      </c>
      <c r="S52">
        <v>50</v>
      </c>
      <c r="T52" t="s">
        <v>71</v>
      </c>
      <c r="U52">
        <v>265738</v>
      </c>
      <c r="V52" s="4">
        <v>59659.997960000001</v>
      </c>
      <c r="W52" s="4"/>
    </row>
    <row r="53" spans="17:23" x14ac:dyDescent="0.3">
      <c r="Q53" t="s">
        <v>139</v>
      </c>
      <c r="R53" t="s">
        <v>125</v>
      </c>
      <c r="S53">
        <v>54</v>
      </c>
      <c r="T53" t="s">
        <v>45</v>
      </c>
      <c r="U53">
        <v>417208</v>
      </c>
      <c r="V53" s="4">
        <v>56380.999239999997</v>
      </c>
      <c r="W53" s="4"/>
    </row>
    <row r="54" spans="17:23" x14ac:dyDescent="0.3">
      <c r="Q54" t="s">
        <v>139</v>
      </c>
      <c r="R54" t="s">
        <v>121</v>
      </c>
      <c r="S54">
        <v>5</v>
      </c>
      <c r="T54" t="s">
        <v>56</v>
      </c>
      <c r="U54">
        <v>138154</v>
      </c>
      <c r="V54" s="4">
        <v>52893.99929</v>
      </c>
      <c r="W54" s="4"/>
    </row>
    <row r="55" spans="17:23" x14ac:dyDescent="0.3">
      <c r="Q55" t="s">
        <v>139</v>
      </c>
      <c r="R55" t="s">
        <v>117</v>
      </c>
      <c r="S55">
        <v>19</v>
      </c>
      <c r="T55" t="s">
        <v>97</v>
      </c>
      <c r="U55">
        <v>232594</v>
      </c>
      <c r="V55" s="4">
        <v>64509.99944</v>
      </c>
      <c r="W55" s="4"/>
    </row>
    <row r="56" spans="17:23" x14ac:dyDescent="0.3">
      <c r="Q56" t="s">
        <v>139</v>
      </c>
      <c r="R56" t="s">
        <v>123</v>
      </c>
      <c r="S56">
        <v>93</v>
      </c>
      <c r="T56" t="s">
        <v>55</v>
      </c>
      <c r="U56">
        <v>203050</v>
      </c>
      <c r="V56" s="4">
        <v>55506.99869</v>
      </c>
      <c r="W56" s="4"/>
    </row>
    <row r="57" spans="17:23" x14ac:dyDescent="0.3">
      <c r="Q57" t="s">
        <v>139</v>
      </c>
      <c r="R57" t="s">
        <v>122</v>
      </c>
      <c r="S57">
        <v>24</v>
      </c>
      <c r="T57" t="s">
        <v>72</v>
      </c>
      <c r="U57">
        <v>565810</v>
      </c>
      <c r="V57" s="4">
        <v>56456.99899</v>
      </c>
      <c r="W57" s="4"/>
    </row>
    <row r="58" spans="17:23" x14ac:dyDescent="0.3">
      <c r="Q58" t="s">
        <v>139</v>
      </c>
      <c r="R58" t="s">
        <v>124</v>
      </c>
      <c r="S58">
        <v>38</v>
      </c>
      <c r="T58" t="s">
        <v>61</v>
      </c>
      <c r="U58">
        <v>225467</v>
      </c>
      <c r="V58" s="4">
        <v>61911.997669999997</v>
      </c>
      <c r="W58" s="4"/>
    </row>
    <row r="59" spans="17:23" x14ac:dyDescent="0.3">
      <c r="Q59" t="s">
        <v>139</v>
      </c>
      <c r="R59" t="s">
        <v>118</v>
      </c>
      <c r="S59">
        <v>52</v>
      </c>
      <c r="T59" t="s">
        <v>63</v>
      </c>
      <c r="U59">
        <v>168882</v>
      </c>
      <c r="V59" s="4">
        <v>59391.000899999999</v>
      </c>
      <c r="W59" s="4"/>
    </row>
    <row r="60" spans="17:23" x14ac:dyDescent="0.3">
      <c r="Q60" t="s">
        <v>139</v>
      </c>
      <c r="R60" t="s">
        <v>119</v>
      </c>
      <c r="S60">
        <v>9</v>
      </c>
      <c r="T60" t="s">
        <v>88</v>
      </c>
      <c r="U60">
        <v>173259</v>
      </c>
      <c r="V60" s="4">
        <v>60644.001669999998</v>
      </c>
      <c r="W60" s="4"/>
    </row>
    <row r="61" spans="17:23" x14ac:dyDescent="0.3">
      <c r="Q61" t="s">
        <v>139</v>
      </c>
      <c r="R61" t="s">
        <v>117</v>
      </c>
      <c r="S61">
        <v>16</v>
      </c>
      <c r="T61" t="s">
        <v>90</v>
      </c>
      <c r="U61">
        <v>717498</v>
      </c>
      <c r="V61" s="4">
        <v>57772.998220000001</v>
      </c>
      <c r="W61" s="4"/>
    </row>
    <row r="62" spans="17:23" x14ac:dyDescent="0.3">
      <c r="Q62" t="s">
        <v>139</v>
      </c>
      <c r="R62" t="s">
        <v>122</v>
      </c>
      <c r="S62">
        <v>23</v>
      </c>
      <c r="T62" t="s">
        <v>82</v>
      </c>
      <c r="U62">
        <v>590577</v>
      </c>
      <c r="V62" s="4">
        <v>55464.998240000001</v>
      </c>
      <c r="W62" s="4"/>
    </row>
    <row r="63" spans="17:23" x14ac:dyDescent="0.3">
      <c r="Q63" t="s">
        <v>139</v>
      </c>
      <c r="R63" t="s">
        <v>120</v>
      </c>
      <c r="S63">
        <v>44</v>
      </c>
      <c r="T63" t="s">
        <v>47</v>
      </c>
      <c r="U63">
        <v>248277</v>
      </c>
      <c r="V63" s="4">
        <v>56139.001109999997</v>
      </c>
      <c r="W63" s="4"/>
    </row>
    <row r="65" spans="22:22" x14ac:dyDescent="0.3">
      <c r="V65" s="64">
        <f>SUM(V2:V63)/62</f>
        <v>58576.285768548383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E599-4791-445E-979D-187977235CC3}">
  <dimension ref="B1:AA65"/>
  <sheetViews>
    <sheetView zoomScale="70" zoomScaleNormal="70" workbookViewId="0">
      <selection activeCell="L44" sqref="L44"/>
    </sheetView>
  </sheetViews>
  <sheetFormatPr defaultRowHeight="14.4" x14ac:dyDescent="0.3"/>
  <cols>
    <col min="1" max="1" width="7.21875" customWidth="1"/>
    <col min="2" max="2" width="9.6640625" customWidth="1"/>
    <col min="3" max="3" width="15.6640625" customWidth="1"/>
    <col min="4" max="4" width="13.33203125" customWidth="1"/>
    <col min="5" max="5" width="11.44140625" customWidth="1"/>
    <col min="6" max="6" width="22.5546875" customWidth="1"/>
    <col min="7" max="7" width="12.88671875" customWidth="1"/>
    <col min="8" max="8" width="9" bestFit="1" customWidth="1"/>
    <col min="9" max="9" width="15.88671875" customWidth="1"/>
    <col min="10" max="10" width="14.33203125" customWidth="1"/>
    <col min="11" max="11" width="16.21875" customWidth="1"/>
    <col min="12" max="12" width="10.77734375" customWidth="1"/>
    <col min="13" max="13" width="13.6640625" customWidth="1"/>
    <col min="14" max="14" width="17.5546875" customWidth="1"/>
    <col min="15" max="15" width="15.21875" customWidth="1"/>
    <col min="16" max="16" width="12.33203125" customWidth="1"/>
    <col min="17" max="17" width="18.21875" customWidth="1"/>
    <col min="18" max="18" width="17.5546875" customWidth="1"/>
    <col min="19" max="19" width="9" bestFit="1" customWidth="1"/>
    <col min="20" max="20" width="13.44140625" customWidth="1"/>
    <col min="21" max="21" width="13.88671875" customWidth="1"/>
    <col min="22" max="23" width="11.77734375" customWidth="1"/>
    <col min="24" max="24" width="17.77734375" customWidth="1"/>
    <col min="25" max="25" width="11.109375" bestFit="1" customWidth="1"/>
    <col min="26" max="26" width="11.6640625" bestFit="1" customWidth="1"/>
    <col min="27" max="27" width="9" bestFit="1" customWidth="1"/>
  </cols>
  <sheetData>
    <row r="1" spans="2:27" ht="15" thickBot="1" x14ac:dyDescent="0.35">
      <c r="F1" s="7" t="s">
        <v>138</v>
      </c>
      <c r="G1" t="s">
        <v>106</v>
      </c>
      <c r="H1" t="s">
        <v>107</v>
      </c>
      <c r="I1" t="s">
        <v>104</v>
      </c>
      <c r="J1" t="s">
        <v>103</v>
      </c>
      <c r="K1" s="5" t="s">
        <v>0</v>
      </c>
      <c r="L1" s="5"/>
      <c r="M1" s="1" t="s">
        <v>102</v>
      </c>
      <c r="N1" s="2" t="s">
        <v>134</v>
      </c>
      <c r="O1" s="7" t="s">
        <v>135</v>
      </c>
      <c r="Q1" s="9" t="s">
        <v>105</v>
      </c>
      <c r="R1" t="s">
        <v>106</v>
      </c>
      <c r="S1" t="s">
        <v>107</v>
      </c>
      <c r="T1" t="s">
        <v>104</v>
      </c>
      <c r="U1" t="s">
        <v>0</v>
      </c>
      <c r="V1" t="s">
        <v>269</v>
      </c>
      <c r="X1" s="20" t="s">
        <v>133</v>
      </c>
    </row>
    <row r="2" spans="2:27" ht="15" thickBot="1" x14ac:dyDescent="0.35">
      <c r="B2" s="10" t="s">
        <v>128</v>
      </c>
      <c r="C2" s="11"/>
      <c r="F2" t="s">
        <v>137</v>
      </c>
      <c r="G2" t="s">
        <v>110</v>
      </c>
      <c r="H2">
        <v>62</v>
      </c>
      <c r="I2" t="s">
        <v>1</v>
      </c>
      <c r="J2" s="6">
        <v>42534.001360000002</v>
      </c>
      <c r="K2" s="5">
        <v>255289</v>
      </c>
      <c r="L2" s="8">
        <f>(1-($D$10 * (( $B$4 - J2)/$B$4))) * $B$8</f>
        <v>66.214312555931969</v>
      </c>
      <c r="M2" s="8">
        <v>61.535980000000002</v>
      </c>
      <c r="N2" s="8">
        <f>(1-($D$8 * (( $B$4 - J2)/$B$4))) * $B$8</f>
        <v>68.875102107251351</v>
      </c>
      <c r="Q2" t="s">
        <v>139</v>
      </c>
      <c r="R2" t="s">
        <v>124</v>
      </c>
      <c r="S2">
        <v>99</v>
      </c>
      <c r="T2" t="s">
        <v>54</v>
      </c>
      <c r="U2">
        <v>209107</v>
      </c>
      <c r="V2" s="14">
        <v>73.638409999999993</v>
      </c>
      <c r="W2" s="14"/>
    </row>
    <row r="3" spans="2:27" x14ac:dyDescent="0.3">
      <c r="B3" s="12" t="s">
        <v>126</v>
      </c>
      <c r="C3" s="13" t="s">
        <v>127</v>
      </c>
      <c r="F3" t="s">
        <v>137</v>
      </c>
      <c r="G3" t="s">
        <v>114</v>
      </c>
      <c r="H3">
        <v>102</v>
      </c>
      <c r="I3" t="s">
        <v>2</v>
      </c>
      <c r="J3" s="6">
        <v>42730.999109999997</v>
      </c>
      <c r="K3" s="5">
        <v>113862</v>
      </c>
      <c r="L3" s="8">
        <f t="shared" ref="L3:L42" si="0">(1-($D$10 * (( $B$4 - J3)/$B$4))) * $B$8</f>
        <v>66.274197246696389</v>
      </c>
      <c r="M3" s="8">
        <v>55.267249999999997</v>
      </c>
      <c r="N3" s="8">
        <f t="shared" ref="N3:N42" si="1">(1-($D$8 * (( $B$4 - J3)/$B$4))) * $B$8</f>
        <v>68.903256443102691</v>
      </c>
      <c r="Q3" t="s">
        <v>139</v>
      </c>
      <c r="R3" t="s">
        <v>119</v>
      </c>
      <c r="S3">
        <v>11</v>
      </c>
      <c r="T3" t="s">
        <v>91</v>
      </c>
      <c r="U3">
        <v>136584</v>
      </c>
      <c r="V3" s="14">
        <v>70.807419999999993</v>
      </c>
      <c r="W3" s="14"/>
      <c r="X3" s="15" t="s">
        <v>144</v>
      </c>
      <c r="Y3" s="22"/>
      <c r="Z3" s="22"/>
      <c r="AA3" s="16"/>
    </row>
    <row r="4" spans="2:27" ht="15" thickBot="1" x14ac:dyDescent="0.35">
      <c r="B4" s="57">
        <v>59053.5</v>
      </c>
      <c r="C4" s="67">
        <v>58576.29</v>
      </c>
      <c r="F4" t="s">
        <v>137</v>
      </c>
      <c r="G4" t="s">
        <v>115</v>
      </c>
      <c r="H4">
        <v>75</v>
      </c>
      <c r="I4" t="s">
        <v>3</v>
      </c>
      <c r="J4" s="6">
        <v>43111.998919999998</v>
      </c>
      <c r="K4" s="5">
        <v>365530</v>
      </c>
      <c r="L4" s="8">
        <f t="shared" si="0"/>
        <v>66.390016111648663</v>
      </c>
      <c r="M4" s="8">
        <v>60.386510000000001</v>
      </c>
      <c r="N4" s="8">
        <f t="shared" si="1"/>
        <v>68.957707809222526</v>
      </c>
      <c r="Q4" t="s">
        <v>139</v>
      </c>
      <c r="R4" t="s">
        <v>117</v>
      </c>
      <c r="S4">
        <v>97</v>
      </c>
      <c r="T4" t="s">
        <v>85</v>
      </c>
      <c r="U4">
        <v>219890</v>
      </c>
      <c r="V4" s="14">
        <v>76.091759999999994</v>
      </c>
      <c r="W4" s="14"/>
      <c r="X4" s="12" t="s">
        <v>102</v>
      </c>
      <c r="Y4" s="23">
        <f>(((SUM(U2:U63))*B8)+((SUM(K2:K42))*M44))/(SUM(SUM(U2:U63),SUM(K2:K42)))</f>
        <v>64.987138776869131</v>
      </c>
      <c r="AA4" s="13"/>
    </row>
    <row r="5" spans="2:27" ht="15" thickBot="1" x14ac:dyDescent="0.35">
      <c r="F5" t="s">
        <v>137</v>
      </c>
      <c r="G5" t="s">
        <v>114</v>
      </c>
      <c r="H5">
        <v>80</v>
      </c>
      <c r="I5" t="s">
        <v>4</v>
      </c>
      <c r="J5" s="6">
        <v>43597.999230000001</v>
      </c>
      <c r="K5" s="5">
        <v>201299</v>
      </c>
      <c r="L5" s="8">
        <f t="shared" si="0"/>
        <v>66.537753729341063</v>
      </c>
      <c r="M5" s="8">
        <v>65.676659999999998</v>
      </c>
      <c r="N5" s="8">
        <f t="shared" si="1"/>
        <v>69.027165536285864</v>
      </c>
      <c r="Q5" t="s">
        <v>139</v>
      </c>
      <c r="R5" t="s">
        <v>118</v>
      </c>
      <c r="S5">
        <v>45</v>
      </c>
      <c r="T5" t="s">
        <v>48</v>
      </c>
      <c r="U5">
        <v>128966</v>
      </c>
      <c r="V5" s="14">
        <v>73.004559999999998</v>
      </c>
      <c r="W5" s="14"/>
      <c r="X5" s="12" t="s">
        <v>134</v>
      </c>
      <c r="Y5" s="24">
        <f>(((SUM(U2:U63))*C8)+((SUM(K2:K42))*N44))/(SUM(SUM(U2:U63),SUM(K2:K42)))</f>
        <v>70.579379759629447</v>
      </c>
      <c r="Z5" s="25">
        <f>Y5-Y4</f>
        <v>5.5922409827603161</v>
      </c>
      <c r="AA5" s="26">
        <f>((Z5*100)/Y4)</f>
        <v>8.6051503236064324</v>
      </c>
    </row>
    <row r="6" spans="2:27" ht="15" thickBot="1" x14ac:dyDescent="0.35">
      <c r="B6" s="10" t="s">
        <v>130</v>
      </c>
      <c r="C6" s="16"/>
      <c r="D6" s="53" t="s">
        <v>146</v>
      </c>
      <c r="F6" t="s">
        <v>137</v>
      </c>
      <c r="G6" t="s">
        <v>110</v>
      </c>
      <c r="H6">
        <v>65</v>
      </c>
      <c r="I6" t="s">
        <v>5</v>
      </c>
      <c r="J6" s="6">
        <v>44124.001149999996</v>
      </c>
      <c r="K6" s="5">
        <v>114185</v>
      </c>
      <c r="L6" s="8">
        <f t="shared" si="0"/>
        <v>66.697651303403148</v>
      </c>
      <c r="M6" s="8">
        <v>53.585569999999997</v>
      </c>
      <c r="N6" s="8">
        <f t="shared" si="1"/>
        <v>69.102340175154211</v>
      </c>
      <c r="Q6" t="s">
        <v>139</v>
      </c>
      <c r="R6" t="s">
        <v>118</v>
      </c>
      <c r="S6">
        <v>46</v>
      </c>
      <c r="T6" t="s">
        <v>67</v>
      </c>
      <c r="U6">
        <v>251505</v>
      </c>
      <c r="V6" s="14">
        <v>69.007859999999994</v>
      </c>
      <c r="W6" s="14"/>
      <c r="X6" s="27" t="s">
        <v>135</v>
      </c>
      <c r="Y6" s="28">
        <f>B8</f>
        <v>71.236019999999996</v>
      </c>
      <c r="Z6" s="29">
        <f>Y6-Y4</f>
        <v>6.2488812231308657</v>
      </c>
      <c r="AA6" s="30">
        <f>((Z6*100)/Y4)</f>
        <v>9.6155660038921873</v>
      </c>
    </row>
    <row r="7" spans="2:27" x14ac:dyDescent="0.3">
      <c r="B7" s="12" t="s">
        <v>126</v>
      </c>
      <c r="C7" s="13" t="s">
        <v>127</v>
      </c>
      <c r="D7" s="52" t="s">
        <v>131</v>
      </c>
      <c r="E7" s="21"/>
      <c r="F7" t="s">
        <v>137</v>
      </c>
      <c r="G7" t="s">
        <v>111</v>
      </c>
      <c r="H7">
        <v>77</v>
      </c>
      <c r="I7" t="s">
        <v>6</v>
      </c>
      <c r="J7" s="6">
        <v>44130.001539999997</v>
      </c>
      <c r="K7" s="5">
        <v>57404</v>
      </c>
      <c r="L7" s="8">
        <f t="shared" si="0"/>
        <v>66.699475342000639</v>
      </c>
      <c r="M7" s="8">
        <v>68.942710000000005</v>
      </c>
      <c r="N7" s="8">
        <f t="shared" si="1"/>
        <v>69.103197733148136</v>
      </c>
      <c r="Q7" t="s">
        <v>139</v>
      </c>
      <c r="R7" t="s">
        <v>118</v>
      </c>
      <c r="S7">
        <v>47</v>
      </c>
      <c r="T7" t="s">
        <v>49</v>
      </c>
      <c r="U7">
        <v>186874</v>
      </c>
      <c r="V7" s="14">
        <v>71.241780000000006</v>
      </c>
      <c r="W7" s="14"/>
    </row>
    <row r="8" spans="2:27" ht="15" thickBot="1" x14ac:dyDescent="0.35">
      <c r="B8" s="35">
        <v>71.236019999999996</v>
      </c>
      <c r="C8" s="17">
        <v>70.992519999999999</v>
      </c>
      <c r="D8" s="19">
        <v>0.1184759</v>
      </c>
      <c r="F8" t="s">
        <v>137</v>
      </c>
      <c r="G8" t="s">
        <v>108</v>
      </c>
      <c r="H8">
        <v>91</v>
      </c>
      <c r="I8" t="s">
        <v>7</v>
      </c>
      <c r="J8" s="6">
        <v>44719.979480000002</v>
      </c>
      <c r="K8" s="5">
        <v>145013</v>
      </c>
      <c r="L8" s="8">
        <f t="shared" si="0"/>
        <v>66.878820773584138</v>
      </c>
      <c r="M8" s="8">
        <v>63.679989999999997</v>
      </c>
      <c r="N8" s="8">
        <f t="shared" si="1"/>
        <v>69.18751563559951</v>
      </c>
      <c r="Q8" t="s">
        <v>139</v>
      </c>
      <c r="R8" t="s">
        <v>117</v>
      </c>
      <c r="S8">
        <v>14</v>
      </c>
      <c r="T8" t="s">
        <v>50</v>
      </c>
      <c r="U8">
        <v>119469</v>
      </c>
      <c r="V8" s="14">
        <v>73.574420000000003</v>
      </c>
      <c r="W8" s="14"/>
      <c r="X8" s="58">
        <f>((J44*41)+(58576.29*62))/103</f>
        <v>54836.783472427182</v>
      </c>
    </row>
    <row r="9" spans="2:27" x14ac:dyDescent="0.3">
      <c r="D9" t="s">
        <v>270</v>
      </c>
      <c r="F9" t="s">
        <v>137</v>
      </c>
      <c r="G9" t="s">
        <v>109</v>
      </c>
      <c r="H9">
        <v>81</v>
      </c>
      <c r="I9" t="s">
        <v>8</v>
      </c>
      <c r="J9" s="6">
        <v>45741.001060000002</v>
      </c>
      <c r="K9" s="5">
        <v>271777</v>
      </c>
      <c r="L9" s="8">
        <f t="shared" si="0"/>
        <v>67.18919772754478</v>
      </c>
      <c r="M9" s="8">
        <v>56.985370000000003</v>
      </c>
      <c r="N9" s="8">
        <f t="shared" si="1"/>
        <v>69.333437020360407</v>
      </c>
      <c r="Q9" t="s">
        <v>139</v>
      </c>
      <c r="R9" t="s">
        <v>117</v>
      </c>
      <c r="S9">
        <v>12</v>
      </c>
      <c r="T9" t="s">
        <v>93</v>
      </c>
      <c r="U9">
        <v>566812</v>
      </c>
      <c r="V9" s="14">
        <v>65.926919999999996</v>
      </c>
      <c r="W9" s="14"/>
    </row>
    <row r="10" spans="2:27" x14ac:dyDescent="0.3">
      <c r="D10">
        <v>0.252</v>
      </c>
      <c r="F10" t="s">
        <v>137</v>
      </c>
      <c r="G10" t="s">
        <v>114</v>
      </c>
      <c r="H10">
        <v>79</v>
      </c>
      <c r="I10" t="s">
        <v>9</v>
      </c>
      <c r="J10" s="6">
        <v>45902.0003</v>
      </c>
      <c r="K10" s="5">
        <v>329167</v>
      </c>
      <c r="L10" s="8">
        <f t="shared" si="0"/>
        <v>67.238139350993308</v>
      </c>
      <c r="M10" s="8">
        <v>68.086200000000005</v>
      </c>
      <c r="N10" s="8">
        <f t="shared" si="1"/>
        <v>69.356446555620423</v>
      </c>
      <c r="Q10" t="s">
        <v>139</v>
      </c>
      <c r="R10" t="s">
        <v>121</v>
      </c>
      <c r="S10">
        <v>6</v>
      </c>
      <c r="T10" t="s">
        <v>75</v>
      </c>
      <c r="U10">
        <v>270554</v>
      </c>
      <c r="V10" s="14">
        <v>72.394130000000004</v>
      </c>
      <c r="W10" s="14"/>
      <c r="X10" s="6"/>
    </row>
    <row r="11" spans="2:27" x14ac:dyDescent="0.3">
      <c r="F11" t="s">
        <v>137</v>
      </c>
      <c r="G11" t="s">
        <v>110</v>
      </c>
      <c r="H11">
        <v>64</v>
      </c>
      <c r="I11" t="s">
        <v>10</v>
      </c>
      <c r="J11" s="6">
        <v>46468.9997</v>
      </c>
      <c r="K11" s="5">
        <v>148450</v>
      </c>
      <c r="L11" s="8">
        <f t="shared" si="0"/>
        <v>67.410499612633913</v>
      </c>
      <c r="M11" s="8">
        <v>65.091120000000004</v>
      </c>
      <c r="N11" s="8">
        <f t="shared" si="1"/>
        <v>69.437480433089092</v>
      </c>
      <c r="Q11" t="s">
        <v>139</v>
      </c>
      <c r="R11" t="s">
        <v>124</v>
      </c>
      <c r="S11">
        <v>39</v>
      </c>
      <c r="T11" t="s">
        <v>76</v>
      </c>
      <c r="U11">
        <v>242507</v>
      </c>
      <c r="V11" s="14">
        <v>71.325119999999998</v>
      </c>
      <c r="W11" s="14"/>
    </row>
    <row r="12" spans="2:27" x14ac:dyDescent="0.3">
      <c r="E12" s="21"/>
      <c r="F12" t="s">
        <v>137</v>
      </c>
      <c r="G12" t="s">
        <v>109</v>
      </c>
      <c r="H12">
        <v>84</v>
      </c>
      <c r="I12" t="s">
        <v>11</v>
      </c>
      <c r="J12" s="6">
        <v>46672.001349999999</v>
      </c>
      <c r="K12" s="5">
        <v>109637</v>
      </c>
      <c r="L12" s="8">
        <f t="shared" si="0"/>
        <v>67.472209408989031</v>
      </c>
      <c r="M12" s="8">
        <v>61.936590000000002</v>
      </c>
      <c r="N12" s="8">
        <f t="shared" si="1"/>
        <v>69.46649282857318</v>
      </c>
      <c r="Q12" t="s">
        <v>139</v>
      </c>
      <c r="R12" t="s">
        <v>121</v>
      </c>
      <c r="S12">
        <v>103</v>
      </c>
      <c r="T12" t="s">
        <v>143</v>
      </c>
      <c r="U12">
        <v>103880</v>
      </c>
      <c r="V12" s="14">
        <v>76.366069999999993</v>
      </c>
      <c r="W12" s="14"/>
    </row>
    <row r="13" spans="2:27" x14ac:dyDescent="0.3">
      <c r="F13" t="s">
        <v>137</v>
      </c>
      <c r="G13" t="s">
        <v>115</v>
      </c>
      <c r="H13">
        <v>72</v>
      </c>
      <c r="I13" t="s">
        <v>12</v>
      </c>
      <c r="J13" s="6">
        <v>47099.036289999996</v>
      </c>
      <c r="K13" s="5">
        <v>133293</v>
      </c>
      <c r="L13" s="8">
        <f t="shared" si="0"/>
        <v>67.602022339986988</v>
      </c>
      <c r="M13" s="8">
        <v>57.991309999999999</v>
      </c>
      <c r="N13" s="8">
        <f t="shared" si="1"/>
        <v>69.527523399333589</v>
      </c>
      <c r="Q13" t="s">
        <v>139</v>
      </c>
      <c r="R13" t="s">
        <v>123</v>
      </c>
      <c r="S13">
        <v>30</v>
      </c>
      <c r="T13" t="s">
        <v>65</v>
      </c>
      <c r="U13">
        <v>346310</v>
      </c>
      <c r="V13" s="14">
        <v>69.490669999999994</v>
      </c>
      <c r="W13" s="14"/>
    </row>
    <row r="14" spans="2:27" x14ac:dyDescent="0.3">
      <c r="F14" t="s">
        <v>137</v>
      </c>
      <c r="G14" t="s">
        <v>114</v>
      </c>
      <c r="H14">
        <v>78</v>
      </c>
      <c r="I14" t="s">
        <v>13</v>
      </c>
      <c r="J14" s="6">
        <v>47120.001429999997</v>
      </c>
      <c r="K14" s="5">
        <v>367438</v>
      </c>
      <c r="L14" s="8">
        <f t="shared" si="0"/>
        <v>67.608395463160889</v>
      </c>
      <c r="M14" s="8">
        <v>60.810180000000003</v>
      </c>
      <c r="N14" s="8">
        <f t="shared" si="1"/>
        <v>69.530519675142472</v>
      </c>
      <c r="Q14" t="s">
        <v>139</v>
      </c>
      <c r="R14" t="s">
        <v>125</v>
      </c>
      <c r="S14">
        <v>55</v>
      </c>
      <c r="T14" t="s">
        <v>46</v>
      </c>
      <c r="U14">
        <v>143504</v>
      </c>
      <c r="V14" s="14">
        <v>72.123329999999996</v>
      </c>
      <c r="W14" s="14"/>
    </row>
    <row r="15" spans="2:27" x14ac:dyDescent="0.3">
      <c r="F15" t="s">
        <v>137</v>
      </c>
      <c r="G15" t="s">
        <v>115</v>
      </c>
      <c r="H15">
        <v>71</v>
      </c>
      <c r="I15" t="s">
        <v>14</v>
      </c>
      <c r="J15" s="6">
        <v>47176.9997</v>
      </c>
      <c r="K15" s="5">
        <v>292963</v>
      </c>
      <c r="L15" s="8">
        <f t="shared" si="0"/>
        <v>67.625722177669346</v>
      </c>
      <c r="M15" s="8">
        <v>50.908549999999998</v>
      </c>
      <c r="N15" s="8">
        <f t="shared" si="1"/>
        <v>69.538665699330693</v>
      </c>
      <c r="Q15" t="s">
        <v>139</v>
      </c>
      <c r="R15" t="s">
        <v>122</v>
      </c>
      <c r="S15">
        <v>25</v>
      </c>
      <c r="T15" t="s">
        <v>77</v>
      </c>
      <c r="U15">
        <v>136227</v>
      </c>
      <c r="V15" s="14">
        <v>71.341710000000006</v>
      </c>
      <c r="W15" s="14"/>
    </row>
    <row r="16" spans="2:27" x14ac:dyDescent="0.3">
      <c r="F16" t="s">
        <v>137</v>
      </c>
      <c r="G16" t="s">
        <v>109</v>
      </c>
      <c r="H16">
        <v>88</v>
      </c>
      <c r="I16" t="s">
        <v>15</v>
      </c>
      <c r="J16" s="6">
        <v>47430.998460000003</v>
      </c>
      <c r="K16" s="5">
        <v>179443</v>
      </c>
      <c r="L16" s="8">
        <f t="shared" si="0"/>
        <v>67.702934415865698</v>
      </c>
      <c r="M16" s="8">
        <v>50.222410000000004</v>
      </c>
      <c r="N16" s="8">
        <f t="shared" si="1"/>
        <v>69.574966450962947</v>
      </c>
      <c r="Q16" t="s">
        <v>139</v>
      </c>
      <c r="R16" t="s">
        <v>141</v>
      </c>
      <c r="S16">
        <v>7</v>
      </c>
      <c r="T16" t="s">
        <v>100</v>
      </c>
      <c r="U16">
        <v>82327</v>
      </c>
      <c r="V16" s="14">
        <v>71.230260000000001</v>
      </c>
      <c r="W16" s="14"/>
    </row>
    <row r="17" spans="6:23" x14ac:dyDescent="0.3">
      <c r="F17" t="s">
        <v>137</v>
      </c>
      <c r="G17" t="s">
        <v>108</v>
      </c>
      <c r="H17">
        <v>95</v>
      </c>
      <c r="I17" t="s">
        <v>16</v>
      </c>
      <c r="J17" s="6">
        <v>47728.998639999998</v>
      </c>
      <c r="K17" s="5">
        <v>393480</v>
      </c>
      <c r="L17" s="8">
        <f t="shared" si="0"/>
        <v>67.793522499369402</v>
      </c>
      <c r="M17" s="8">
        <v>51.480420000000002</v>
      </c>
      <c r="N17" s="8">
        <f t="shared" si="1"/>
        <v>69.617555755416817</v>
      </c>
      <c r="Q17" t="s">
        <v>139</v>
      </c>
      <c r="R17" t="s">
        <v>119</v>
      </c>
      <c r="S17">
        <v>8</v>
      </c>
      <c r="T17" t="s">
        <v>64</v>
      </c>
      <c r="U17">
        <v>134060</v>
      </c>
      <c r="V17" s="14">
        <v>69.698859999999996</v>
      </c>
      <c r="W17" s="14"/>
    </row>
    <row r="18" spans="6:23" x14ac:dyDescent="0.3">
      <c r="F18" t="s">
        <v>137</v>
      </c>
      <c r="G18" t="s">
        <v>110</v>
      </c>
      <c r="H18">
        <v>61</v>
      </c>
      <c r="I18" t="s">
        <v>17</v>
      </c>
      <c r="J18" s="6">
        <v>47826.999969999997</v>
      </c>
      <c r="K18" s="5">
        <v>829975</v>
      </c>
      <c r="L18" s="8">
        <f t="shared" si="0"/>
        <v>67.823313597702011</v>
      </c>
      <c r="M18" s="8">
        <v>51.993450000000003</v>
      </c>
      <c r="N18" s="8">
        <f t="shared" si="1"/>
        <v>69.631561815682474</v>
      </c>
      <c r="Q18" t="s">
        <v>139</v>
      </c>
      <c r="R18" t="s">
        <v>118</v>
      </c>
      <c r="S18">
        <v>49</v>
      </c>
      <c r="T18" t="s">
        <v>53</v>
      </c>
      <c r="U18">
        <v>214406</v>
      </c>
      <c r="V18" s="14">
        <v>71.576049999999995</v>
      </c>
      <c r="W18" s="14"/>
    </row>
    <row r="19" spans="6:23" x14ac:dyDescent="0.3">
      <c r="F19" t="s">
        <v>137</v>
      </c>
      <c r="G19" t="s">
        <v>109</v>
      </c>
      <c r="H19">
        <v>83</v>
      </c>
      <c r="I19" t="s">
        <v>18</v>
      </c>
      <c r="J19" s="6">
        <v>48070.000979999997</v>
      </c>
      <c r="K19" s="5">
        <v>289200</v>
      </c>
      <c r="L19" s="8">
        <f t="shared" si="0"/>
        <v>67.897182666456814</v>
      </c>
      <c r="M19" s="8">
        <v>60.166820000000001</v>
      </c>
      <c r="N19" s="8">
        <f t="shared" si="1"/>
        <v>69.666290801408209</v>
      </c>
      <c r="Q19" t="s">
        <v>139</v>
      </c>
      <c r="R19" t="s">
        <v>118</v>
      </c>
      <c r="S19">
        <v>51</v>
      </c>
      <c r="T19" t="s">
        <v>51</v>
      </c>
      <c r="U19">
        <v>222850</v>
      </c>
      <c r="V19" s="14">
        <v>64.821920000000006</v>
      </c>
      <c r="W19" s="14"/>
    </row>
    <row r="20" spans="6:23" x14ac:dyDescent="0.3">
      <c r="F20" t="s">
        <v>137</v>
      </c>
      <c r="G20" t="s">
        <v>115</v>
      </c>
      <c r="H20">
        <v>73</v>
      </c>
      <c r="I20" t="s">
        <v>19</v>
      </c>
      <c r="J20" s="6">
        <v>48376.99912</v>
      </c>
      <c r="K20" s="5">
        <v>207068</v>
      </c>
      <c r="L20" s="8">
        <f t="shared" si="0"/>
        <v>67.990506009891718</v>
      </c>
      <c r="M20" s="8">
        <v>63.608469999999997</v>
      </c>
      <c r="N20" s="8">
        <f t="shared" si="1"/>
        <v>69.710166067695752</v>
      </c>
      <c r="Q20" t="s">
        <v>139</v>
      </c>
      <c r="R20" t="s">
        <v>124</v>
      </c>
      <c r="S20">
        <v>40</v>
      </c>
      <c r="T20" t="s">
        <v>60</v>
      </c>
      <c r="U20">
        <v>249942</v>
      </c>
      <c r="V20" s="14">
        <v>71.394279999999995</v>
      </c>
      <c r="W20" s="14"/>
    </row>
    <row r="21" spans="6:23" x14ac:dyDescent="0.3">
      <c r="F21" t="s">
        <v>137</v>
      </c>
      <c r="G21" t="s">
        <v>112</v>
      </c>
      <c r="H21">
        <v>57</v>
      </c>
      <c r="I21" t="s">
        <v>20</v>
      </c>
      <c r="J21" s="6">
        <v>48616.998910000002</v>
      </c>
      <c r="K21" s="5">
        <v>203479</v>
      </c>
      <c r="L21" s="8">
        <f t="shared" si="0"/>
        <v>68.063462747761434</v>
      </c>
      <c r="M21" s="8">
        <v>65.279120000000006</v>
      </c>
      <c r="N21" s="8">
        <f t="shared" si="1"/>
        <v>69.744466127934558</v>
      </c>
      <c r="Q21" t="s">
        <v>139</v>
      </c>
      <c r="R21" t="s">
        <v>119</v>
      </c>
      <c r="S21">
        <v>10</v>
      </c>
      <c r="T21" t="s">
        <v>99</v>
      </c>
      <c r="U21">
        <v>531081</v>
      </c>
      <c r="V21" s="14">
        <v>67.617699999999999</v>
      </c>
      <c r="W21" s="14"/>
    </row>
    <row r="22" spans="6:23" x14ac:dyDescent="0.3">
      <c r="F22" t="s">
        <v>137</v>
      </c>
      <c r="G22" t="s">
        <v>108</v>
      </c>
      <c r="H22">
        <v>92</v>
      </c>
      <c r="I22" t="s">
        <v>21</v>
      </c>
      <c r="J22" s="6">
        <v>48976.35974</v>
      </c>
      <c r="K22" s="5">
        <v>736822</v>
      </c>
      <c r="L22" s="8">
        <f t="shared" si="0"/>
        <v>68.172703651159537</v>
      </c>
      <c r="M22" s="8">
        <v>54.57161</v>
      </c>
      <c r="N22" s="8">
        <f t="shared" si="1"/>
        <v>69.795824915025449</v>
      </c>
      <c r="Q22" t="s">
        <v>139</v>
      </c>
      <c r="R22" t="s">
        <v>121</v>
      </c>
      <c r="S22">
        <v>2</v>
      </c>
      <c r="T22" t="s">
        <v>59</v>
      </c>
      <c r="U22">
        <v>112681</v>
      </c>
      <c r="V22" s="14">
        <v>69.442419999999998</v>
      </c>
      <c r="W22" s="14"/>
    </row>
    <row r="23" spans="6:23" x14ac:dyDescent="0.3">
      <c r="F23" t="s">
        <v>137</v>
      </c>
      <c r="G23" t="s">
        <v>114</v>
      </c>
      <c r="H23">
        <v>101</v>
      </c>
      <c r="I23" t="s">
        <v>22</v>
      </c>
      <c r="J23" s="6">
        <v>49212.999810000001</v>
      </c>
      <c r="K23" s="5">
        <v>331729</v>
      </c>
      <c r="L23" s="8">
        <f t="shared" si="0"/>
        <v>68.244639078921637</v>
      </c>
      <c r="M23" s="8">
        <v>57.241340000000001</v>
      </c>
      <c r="N23" s="8">
        <f t="shared" si="1"/>
        <v>69.829644814017513</v>
      </c>
      <c r="Q23" t="s">
        <v>139</v>
      </c>
      <c r="R23" t="s">
        <v>122</v>
      </c>
      <c r="S23">
        <v>26</v>
      </c>
      <c r="T23" t="s">
        <v>73</v>
      </c>
      <c r="U23">
        <v>576591</v>
      </c>
      <c r="V23" s="14">
        <v>71.700680000000006</v>
      </c>
      <c r="W23" s="14"/>
    </row>
    <row r="24" spans="6:23" x14ac:dyDescent="0.3">
      <c r="F24" t="s">
        <v>137</v>
      </c>
      <c r="G24" t="s">
        <v>115</v>
      </c>
      <c r="H24">
        <v>74</v>
      </c>
      <c r="I24" t="s">
        <v>23</v>
      </c>
      <c r="J24" s="6">
        <v>49439.997990000003</v>
      </c>
      <c r="K24" s="5">
        <v>2635277</v>
      </c>
      <c r="L24" s="8">
        <f t="shared" si="0"/>
        <v>68.313643500613694</v>
      </c>
      <c r="M24" s="8">
        <v>69.111379999999997</v>
      </c>
      <c r="N24" s="8">
        <f t="shared" si="1"/>
        <v>69.862086722604587</v>
      </c>
      <c r="Q24" t="s">
        <v>139</v>
      </c>
      <c r="R24" t="s">
        <v>121</v>
      </c>
      <c r="S24">
        <v>4</v>
      </c>
      <c r="T24" t="s">
        <v>70</v>
      </c>
      <c r="U24">
        <v>374095</v>
      </c>
      <c r="V24" s="14">
        <v>70.310490000000001</v>
      </c>
      <c r="W24" s="14"/>
    </row>
    <row r="25" spans="6:23" x14ac:dyDescent="0.3">
      <c r="F25" t="s">
        <v>137</v>
      </c>
      <c r="G25" t="s">
        <v>116</v>
      </c>
      <c r="H25">
        <v>67</v>
      </c>
      <c r="I25" t="s">
        <v>24</v>
      </c>
      <c r="J25" s="6">
        <v>49817.001320000003</v>
      </c>
      <c r="K25" s="5">
        <v>101642</v>
      </c>
      <c r="L25" s="8">
        <f t="shared" si="0"/>
        <v>68.428247488903949</v>
      </c>
      <c r="M25" s="8">
        <v>64.145160000000004</v>
      </c>
      <c r="N25" s="8">
        <f t="shared" si="1"/>
        <v>69.915966923621568</v>
      </c>
      <c r="Q25" t="s">
        <v>139</v>
      </c>
      <c r="R25" t="s">
        <v>120</v>
      </c>
      <c r="S25">
        <v>41</v>
      </c>
      <c r="T25" t="s">
        <v>43</v>
      </c>
      <c r="U25">
        <v>234812</v>
      </c>
      <c r="V25" s="14">
        <v>74.400099999999995</v>
      </c>
      <c r="W25" s="14"/>
    </row>
    <row r="26" spans="6:23" x14ac:dyDescent="0.3">
      <c r="F26" t="s">
        <v>137</v>
      </c>
      <c r="G26" t="s">
        <v>109</v>
      </c>
      <c r="H26">
        <v>87</v>
      </c>
      <c r="I26" t="s">
        <v>25</v>
      </c>
      <c r="J26" s="6">
        <v>49818.999259999997</v>
      </c>
      <c r="K26" s="5">
        <v>484306</v>
      </c>
      <c r="L26" s="8">
        <f t="shared" si="0"/>
        <v>68.428854836038965</v>
      </c>
      <c r="M26" s="8">
        <v>60.254809999999999</v>
      </c>
      <c r="N26" s="8">
        <f t="shared" si="1"/>
        <v>69.916252463297894</v>
      </c>
      <c r="Q26" t="s">
        <v>139</v>
      </c>
      <c r="R26" t="s">
        <v>117</v>
      </c>
      <c r="S26">
        <v>13</v>
      </c>
      <c r="T26" t="s">
        <v>78</v>
      </c>
      <c r="U26">
        <v>384111</v>
      </c>
      <c r="V26" s="14">
        <v>75.102329999999995</v>
      </c>
      <c r="W26" s="14"/>
    </row>
    <row r="27" spans="6:23" x14ac:dyDescent="0.3">
      <c r="F27" t="s">
        <v>137</v>
      </c>
      <c r="G27" t="s">
        <v>109</v>
      </c>
      <c r="H27">
        <v>86</v>
      </c>
      <c r="I27" t="s">
        <v>26</v>
      </c>
      <c r="J27" s="6">
        <v>49821.000659999998</v>
      </c>
      <c r="K27" s="5">
        <v>243028</v>
      </c>
      <c r="L27" s="8">
        <f t="shared" si="0"/>
        <v>68.429463234967855</v>
      </c>
      <c r="M27" s="8">
        <v>66.994240000000005</v>
      </c>
      <c r="N27" s="8">
        <f t="shared" si="1"/>
        <v>69.916538497467172</v>
      </c>
      <c r="Q27" t="s">
        <v>139</v>
      </c>
      <c r="R27" t="s">
        <v>118</v>
      </c>
      <c r="S27">
        <v>53</v>
      </c>
      <c r="T27" t="s">
        <v>44</v>
      </c>
      <c r="U27">
        <v>142323</v>
      </c>
      <c r="V27" s="14">
        <v>69.714330000000004</v>
      </c>
      <c r="W27" s="14"/>
    </row>
    <row r="28" spans="6:23" x14ac:dyDescent="0.3">
      <c r="F28" t="s">
        <v>137</v>
      </c>
      <c r="G28" t="s">
        <v>109</v>
      </c>
      <c r="H28">
        <v>85</v>
      </c>
      <c r="I28" t="s">
        <v>27</v>
      </c>
      <c r="J28" s="6">
        <v>49846.000670000001</v>
      </c>
      <c r="K28" s="5">
        <v>187692</v>
      </c>
      <c r="L28" s="8">
        <f t="shared" si="0"/>
        <v>68.437062904852198</v>
      </c>
      <c r="M28" s="8">
        <v>55.891779999999997</v>
      </c>
      <c r="N28" s="8">
        <f t="shared" si="1"/>
        <v>69.920111424964205</v>
      </c>
      <c r="Q28" t="s">
        <v>139</v>
      </c>
      <c r="R28" t="s">
        <v>122</v>
      </c>
      <c r="S28">
        <v>27</v>
      </c>
      <c r="T28" t="s">
        <v>86</v>
      </c>
      <c r="U28">
        <v>551334</v>
      </c>
      <c r="V28" s="14">
        <v>69.470029999999994</v>
      </c>
      <c r="W28" s="14"/>
    </row>
    <row r="29" spans="6:23" x14ac:dyDescent="0.3">
      <c r="F29" t="s">
        <v>137</v>
      </c>
      <c r="G29" t="s">
        <v>113</v>
      </c>
      <c r="H29">
        <v>94</v>
      </c>
      <c r="I29" t="s">
        <v>28</v>
      </c>
      <c r="J29" s="6">
        <v>50439.001340000003</v>
      </c>
      <c r="K29" s="5">
        <v>269042</v>
      </c>
      <c r="L29" s="8">
        <f t="shared" si="0"/>
        <v>68.617327206074137</v>
      </c>
      <c r="M29" s="8">
        <v>49.826720000000002</v>
      </c>
      <c r="N29" s="8">
        <f t="shared" si="1"/>
        <v>70.00486132704809</v>
      </c>
      <c r="Q29" t="s">
        <v>139</v>
      </c>
      <c r="R29" t="s">
        <v>121</v>
      </c>
      <c r="S29">
        <v>1</v>
      </c>
      <c r="T29" t="s">
        <v>92</v>
      </c>
      <c r="U29">
        <v>1457595</v>
      </c>
      <c r="V29" s="14">
        <v>72.08202</v>
      </c>
      <c r="W29" s="14"/>
    </row>
    <row r="30" spans="6:23" x14ac:dyDescent="0.3">
      <c r="F30" t="s">
        <v>137</v>
      </c>
      <c r="G30" t="s">
        <v>108</v>
      </c>
      <c r="H30">
        <v>90</v>
      </c>
      <c r="I30" t="s">
        <v>29</v>
      </c>
      <c r="J30" s="6">
        <v>50877.341979999997</v>
      </c>
      <c r="K30" s="5">
        <v>421622</v>
      </c>
      <c r="L30" s="8">
        <f t="shared" si="0"/>
        <v>68.750576919209834</v>
      </c>
      <c r="M30" s="8">
        <v>51.366210000000002</v>
      </c>
      <c r="N30" s="8">
        <f t="shared" si="1"/>
        <v>70.067507675018291</v>
      </c>
      <c r="Q30" t="s">
        <v>139</v>
      </c>
      <c r="R30" t="s">
        <v>117</v>
      </c>
      <c r="S30">
        <v>98</v>
      </c>
      <c r="T30" t="s">
        <v>84</v>
      </c>
      <c r="U30">
        <v>148772</v>
      </c>
      <c r="V30" s="14">
        <v>72.153940000000006</v>
      </c>
      <c r="W30" s="14"/>
    </row>
    <row r="31" spans="6:23" x14ac:dyDescent="0.3">
      <c r="F31" t="s">
        <v>137</v>
      </c>
      <c r="G31" t="s">
        <v>110</v>
      </c>
      <c r="H31">
        <v>63</v>
      </c>
      <c r="I31" t="s">
        <v>30</v>
      </c>
      <c r="J31" s="6">
        <v>51025.998240000001</v>
      </c>
      <c r="K31" s="5">
        <v>615738</v>
      </c>
      <c r="L31" s="8">
        <f t="shared" si="0"/>
        <v>68.795766441223634</v>
      </c>
      <c r="M31" s="8">
        <v>46.408520000000003</v>
      </c>
      <c r="N31" s="8">
        <f t="shared" si="1"/>
        <v>70.088753188078442</v>
      </c>
      <c r="Q31" t="s">
        <v>139</v>
      </c>
      <c r="R31" t="s">
        <v>124</v>
      </c>
      <c r="S31">
        <v>34</v>
      </c>
      <c r="T31" t="s">
        <v>80</v>
      </c>
      <c r="U31">
        <v>274278</v>
      </c>
      <c r="V31" s="14">
        <v>70.971729999999994</v>
      </c>
      <c r="W31" s="14"/>
    </row>
    <row r="32" spans="6:23" x14ac:dyDescent="0.3">
      <c r="F32" t="s">
        <v>137</v>
      </c>
      <c r="G32" t="s">
        <v>116</v>
      </c>
      <c r="H32">
        <v>69</v>
      </c>
      <c r="I32" t="s">
        <v>31</v>
      </c>
      <c r="J32" s="6">
        <v>51390.998659999997</v>
      </c>
      <c r="K32" s="5">
        <v>205532</v>
      </c>
      <c r="L32" s="8">
        <f t="shared" si="0"/>
        <v>68.906721704827319</v>
      </c>
      <c r="M32" s="8">
        <v>62.084330000000001</v>
      </c>
      <c r="N32" s="8">
        <f t="shared" si="1"/>
        <v>70.140917968694254</v>
      </c>
      <c r="Q32" t="s">
        <v>139</v>
      </c>
      <c r="R32" t="s">
        <v>124</v>
      </c>
      <c r="S32">
        <v>36</v>
      </c>
      <c r="T32" t="s">
        <v>96</v>
      </c>
      <c r="U32">
        <v>443750</v>
      </c>
      <c r="V32" s="14">
        <v>71.773759999999996</v>
      </c>
      <c r="W32" s="14"/>
    </row>
    <row r="33" spans="6:23" x14ac:dyDescent="0.3">
      <c r="F33" t="s">
        <v>137</v>
      </c>
      <c r="G33" t="s">
        <v>111</v>
      </c>
      <c r="H33">
        <v>76</v>
      </c>
      <c r="I33" t="s">
        <v>32</v>
      </c>
      <c r="J33" s="6">
        <v>51417.0003</v>
      </c>
      <c r="K33" s="5">
        <v>108768</v>
      </c>
      <c r="L33" s="8">
        <f t="shared" si="0"/>
        <v>68.914625856883717</v>
      </c>
      <c r="M33" s="8">
        <v>59.937179999999998</v>
      </c>
      <c r="N33" s="8">
        <f t="shared" si="1"/>
        <v>70.14463404618877</v>
      </c>
      <c r="Q33" t="s">
        <v>139</v>
      </c>
      <c r="R33" t="s">
        <v>124</v>
      </c>
      <c r="S33">
        <v>33</v>
      </c>
      <c r="T33" t="s">
        <v>62</v>
      </c>
      <c r="U33">
        <v>179452</v>
      </c>
      <c r="V33" s="14">
        <v>70.046040000000005</v>
      </c>
      <c r="W33" s="14"/>
    </row>
    <row r="34" spans="6:23" x14ac:dyDescent="0.3">
      <c r="F34" t="s">
        <v>137</v>
      </c>
      <c r="G34" t="s">
        <v>112</v>
      </c>
      <c r="H34">
        <v>60</v>
      </c>
      <c r="I34" t="s">
        <v>33</v>
      </c>
      <c r="J34" s="6">
        <v>51494.999839999997</v>
      </c>
      <c r="K34" s="5">
        <v>543605</v>
      </c>
      <c r="L34" s="8">
        <f t="shared" si="0"/>
        <v>68.93833667760461</v>
      </c>
      <c r="M34" s="8">
        <v>62.5867</v>
      </c>
      <c r="N34" s="8">
        <f t="shared" si="1"/>
        <v>70.15578150977862</v>
      </c>
      <c r="Q34" t="s">
        <v>139</v>
      </c>
      <c r="R34" t="s">
        <v>123</v>
      </c>
      <c r="S34">
        <v>32</v>
      </c>
      <c r="T34" t="s">
        <v>87</v>
      </c>
      <c r="U34">
        <v>142512</v>
      </c>
      <c r="V34" s="14">
        <v>71.346959999999996</v>
      </c>
      <c r="W34" s="14"/>
    </row>
    <row r="35" spans="6:23" x14ac:dyDescent="0.3">
      <c r="F35" t="s">
        <v>137</v>
      </c>
      <c r="G35" t="s">
        <v>109</v>
      </c>
      <c r="H35">
        <v>82</v>
      </c>
      <c r="I35" t="s">
        <v>34</v>
      </c>
      <c r="J35" s="6">
        <v>52973.997280000003</v>
      </c>
      <c r="K35" s="5">
        <v>2087178</v>
      </c>
      <c r="L35" s="8">
        <f t="shared" si="0"/>
        <v>69.387932189917649</v>
      </c>
      <c r="M35" s="8">
        <v>45.171579999999999</v>
      </c>
      <c r="N35" s="8">
        <f t="shared" si="1"/>
        <v>70.367155450085178</v>
      </c>
      <c r="Q35" t="s">
        <v>139</v>
      </c>
      <c r="R35" t="s">
        <v>118</v>
      </c>
      <c r="S35">
        <v>48</v>
      </c>
      <c r="T35" t="s">
        <v>89</v>
      </c>
      <c r="U35">
        <v>616282</v>
      </c>
      <c r="V35" s="14">
        <v>69.607879999999994</v>
      </c>
      <c r="W35" s="14"/>
    </row>
    <row r="36" spans="6:23" x14ac:dyDescent="0.3">
      <c r="F36" t="s">
        <v>137</v>
      </c>
      <c r="G36" t="s">
        <v>113</v>
      </c>
      <c r="H36">
        <v>70</v>
      </c>
      <c r="I36" t="s">
        <v>35</v>
      </c>
      <c r="J36" s="6">
        <v>53269.998820000001</v>
      </c>
      <c r="K36" s="5">
        <v>729185</v>
      </c>
      <c r="L36" s="8">
        <f t="shared" si="0"/>
        <v>69.47791271349567</v>
      </c>
      <c r="M36" s="8">
        <v>51.932769999999998</v>
      </c>
      <c r="N36" s="8">
        <f t="shared" si="1"/>
        <v>70.409459114820805</v>
      </c>
      <c r="Q36" t="s">
        <v>139</v>
      </c>
      <c r="R36" t="s">
        <v>122</v>
      </c>
      <c r="S36">
        <v>28</v>
      </c>
      <c r="T36" t="s">
        <v>74</v>
      </c>
      <c r="U36">
        <v>606790</v>
      </c>
      <c r="V36" s="14">
        <v>69.940150000000003</v>
      </c>
      <c r="W36" s="14"/>
    </row>
    <row r="37" spans="6:23" x14ac:dyDescent="0.3">
      <c r="F37" t="s">
        <v>137</v>
      </c>
      <c r="G37" t="s">
        <v>116</v>
      </c>
      <c r="H37">
        <v>66</v>
      </c>
      <c r="I37" t="s">
        <v>36</v>
      </c>
      <c r="J37" s="6">
        <v>53330.001830000001</v>
      </c>
      <c r="K37" s="5">
        <v>251245</v>
      </c>
      <c r="L37" s="8">
        <f t="shared" si="0"/>
        <v>69.496152828922291</v>
      </c>
      <c r="M37" s="8">
        <v>60.300460000000001</v>
      </c>
      <c r="N37" s="8">
        <f t="shared" si="1"/>
        <v>70.41803456756395</v>
      </c>
      <c r="Q37" t="s">
        <v>139</v>
      </c>
      <c r="R37" t="s">
        <v>122</v>
      </c>
      <c r="S37">
        <v>29</v>
      </c>
      <c r="T37" t="s">
        <v>58</v>
      </c>
      <c r="U37">
        <v>160497</v>
      </c>
      <c r="V37" s="14">
        <v>68.304270000000002</v>
      </c>
      <c r="W37" s="14"/>
    </row>
    <row r="38" spans="6:23" x14ac:dyDescent="0.3">
      <c r="F38" t="s">
        <v>137</v>
      </c>
      <c r="G38" t="s">
        <v>112</v>
      </c>
      <c r="H38">
        <v>59</v>
      </c>
      <c r="I38" t="s">
        <v>37</v>
      </c>
      <c r="J38" s="6">
        <v>53372.998769999998</v>
      </c>
      <c r="K38" s="5">
        <v>281399</v>
      </c>
      <c r="L38" s="8">
        <f t="shared" si="0"/>
        <v>69.509223325695558</v>
      </c>
      <c r="M38" s="8">
        <v>53.56091</v>
      </c>
      <c r="N38" s="8">
        <f t="shared" si="1"/>
        <v>70.424179563074503</v>
      </c>
      <c r="Q38" t="s">
        <v>139</v>
      </c>
      <c r="R38" t="s">
        <v>140</v>
      </c>
      <c r="S38">
        <v>21</v>
      </c>
      <c r="T38" t="s">
        <v>98</v>
      </c>
      <c r="U38">
        <v>325568</v>
      </c>
      <c r="V38" s="14">
        <v>68.056020000000004</v>
      </c>
      <c r="W38" s="14"/>
    </row>
    <row r="39" spans="6:23" x14ac:dyDescent="0.3">
      <c r="F39" t="s">
        <v>137</v>
      </c>
      <c r="G39" t="s">
        <v>112</v>
      </c>
      <c r="H39">
        <v>56</v>
      </c>
      <c r="I39" t="s">
        <v>38</v>
      </c>
      <c r="J39" s="6">
        <v>53784.001450000003</v>
      </c>
      <c r="K39" s="5">
        <v>533300</v>
      </c>
      <c r="L39" s="8">
        <f t="shared" si="0"/>
        <v>69.634162663302959</v>
      </c>
      <c r="M39" s="8">
        <v>54.091079999999998</v>
      </c>
      <c r="N39" s="8">
        <f t="shared" si="1"/>
        <v>70.482918850647678</v>
      </c>
      <c r="Q39" t="s">
        <v>139</v>
      </c>
      <c r="R39" t="s">
        <v>120</v>
      </c>
      <c r="S39">
        <v>43</v>
      </c>
      <c r="T39" t="s">
        <v>42</v>
      </c>
      <c r="U39">
        <v>203544</v>
      </c>
      <c r="V39" s="14">
        <v>68.405969999999996</v>
      </c>
      <c r="W39" s="14"/>
    </row>
    <row r="40" spans="6:23" x14ac:dyDescent="0.3">
      <c r="F40" t="s">
        <v>137</v>
      </c>
      <c r="G40" t="s">
        <v>109</v>
      </c>
      <c r="H40">
        <v>89</v>
      </c>
      <c r="I40" t="s">
        <v>39</v>
      </c>
      <c r="J40" s="6">
        <v>54269.001400000001</v>
      </c>
      <c r="K40" s="5">
        <v>205267</v>
      </c>
      <c r="L40" s="8">
        <f t="shared" si="0"/>
        <v>69.781596184886382</v>
      </c>
      <c r="M40" s="8">
        <v>63.283790000000003</v>
      </c>
      <c r="N40" s="8">
        <f t="shared" si="1"/>
        <v>70.552233609218163</v>
      </c>
      <c r="Q40" t="s">
        <v>139</v>
      </c>
      <c r="R40" t="s">
        <v>117</v>
      </c>
      <c r="S40">
        <v>20</v>
      </c>
      <c r="T40" t="s">
        <v>68</v>
      </c>
      <c r="U40">
        <v>263559</v>
      </c>
      <c r="V40" s="14">
        <v>76.776250000000005</v>
      </c>
      <c r="W40" s="14"/>
    </row>
    <row r="41" spans="6:23" x14ac:dyDescent="0.3">
      <c r="F41" t="s">
        <v>137</v>
      </c>
      <c r="G41" t="s">
        <v>116</v>
      </c>
      <c r="H41">
        <v>68</v>
      </c>
      <c r="I41" t="s">
        <v>40</v>
      </c>
      <c r="J41" s="6">
        <v>55695.000189999999</v>
      </c>
      <c r="K41" s="5">
        <v>433465</v>
      </c>
      <c r="L41" s="8">
        <f t="shared" si="0"/>
        <v>70.215080813871154</v>
      </c>
      <c r="M41" s="8">
        <v>55.754420000000003</v>
      </c>
      <c r="N41" s="8">
        <f t="shared" si="1"/>
        <v>70.756033139198877</v>
      </c>
      <c r="Q41" t="s">
        <v>139</v>
      </c>
      <c r="R41" t="s">
        <v>124</v>
      </c>
      <c r="S41">
        <v>37</v>
      </c>
      <c r="T41" t="s">
        <v>95</v>
      </c>
      <c r="U41">
        <v>615802</v>
      </c>
      <c r="V41" s="14">
        <v>72.928970000000007</v>
      </c>
      <c r="W41" s="14"/>
    </row>
    <row r="42" spans="6:23" x14ac:dyDescent="0.3">
      <c r="F42" t="s">
        <v>137</v>
      </c>
      <c r="G42" t="s">
        <v>112</v>
      </c>
      <c r="H42">
        <v>58</v>
      </c>
      <c r="I42" t="s">
        <v>41</v>
      </c>
      <c r="J42" s="6">
        <v>67006.001409999997</v>
      </c>
      <c r="K42" s="5">
        <v>1106716</v>
      </c>
      <c r="L42" s="8">
        <f t="shared" si="0"/>
        <v>73.6534744518476</v>
      </c>
      <c r="M42" s="8">
        <v>56.80697</v>
      </c>
      <c r="N42" s="8">
        <f t="shared" si="1"/>
        <v>72.372567983697039</v>
      </c>
      <c r="Q42" t="s">
        <v>139</v>
      </c>
      <c r="R42" t="s">
        <v>117</v>
      </c>
      <c r="S42">
        <v>15</v>
      </c>
      <c r="T42" t="s">
        <v>101</v>
      </c>
      <c r="U42">
        <v>2509154</v>
      </c>
      <c r="V42" s="14">
        <v>70.373580000000004</v>
      </c>
      <c r="W42" s="14"/>
    </row>
    <row r="43" spans="6:23" ht="15" thickBot="1" x14ac:dyDescent="0.35">
      <c r="K43" s="5"/>
      <c r="Q43" t="s">
        <v>139</v>
      </c>
      <c r="R43" t="s">
        <v>140</v>
      </c>
      <c r="S43">
        <v>22</v>
      </c>
      <c r="T43" t="s">
        <v>94</v>
      </c>
      <c r="U43">
        <v>338705</v>
      </c>
      <c r="V43" s="14">
        <v>67.808530000000005</v>
      </c>
      <c r="W43" s="14"/>
    </row>
    <row r="44" spans="6:23" x14ac:dyDescent="0.3">
      <c r="J44" s="58">
        <f>SUM(J2:J42)/41</f>
        <v>49181.919942926834</v>
      </c>
      <c r="L44" s="8">
        <f>SUMPRODUCT(K2:K42, L2:L42)/SUM(K2:K42)</f>
        <v>68.760597753581521</v>
      </c>
      <c r="M44" s="36">
        <f>SUMPRODUCT(K2:K42, M2:M42)/SUM(K2:K42)</f>
        <v>57.316164865333846</v>
      </c>
      <c r="N44" s="32">
        <f>SUMPRODUCT(K2:K42, N2:N42)/SUM(K2:K42)</f>
        <v>70.072218894744239</v>
      </c>
      <c r="O44" s="37">
        <v>71.239999999999995</v>
      </c>
      <c r="Q44" t="s">
        <v>139</v>
      </c>
      <c r="R44" t="s">
        <v>124</v>
      </c>
      <c r="S44">
        <v>35</v>
      </c>
      <c r="T44" t="s">
        <v>142</v>
      </c>
      <c r="U44">
        <v>335020</v>
      </c>
      <c r="V44" s="14">
        <v>70.148589999999999</v>
      </c>
      <c r="W44" s="14"/>
    </row>
    <row r="45" spans="6:23" ht="15" thickBot="1" x14ac:dyDescent="0.35">
      <c r="M45" s="27"/>
      <c r="N45" s="29">
        <f>N44-M44</f>
        <v>12.756054029410393</v>
      </c>
      <c r="O45" s="34">
        <f>O44-M44</f>
        <v>13.923835134666149</v>
      </c>
      <c r="Q45" t="s">
        <v>139</v>
      </c>
      <c r="R45" t="s">
        <v>120</v>
      </c>
      <c r="S45">
        <v>42</v>
      </c>
      <c r="T45" t="s">
        <v>57</v>
      </c>
      <c r="U45">
        <v>301903</v>
      </c>
      <c r="V45" s="14">
        <v>68.644999999999996</v>
      </c>
      <c r="W45" s="14"/>
    </row>
    <row r="46" spans="6:23" x14ac:dyDescent="0.3">
      <c r="Q46" t="s">
        <v>139</v>
      </c>
      <c r="R46" t="s">
        <v>121</v>
      </c>
      <c r="S46">
        <v>96</v>
      </c>
      <c r="T46" t="s">
        <v>66</v>
      </c>
      <c r="U46">
        <v>115824</v>
      </c>
      <c r="V46" s="14">
        <v>68.591390000000004</v>
      </c>
      <c r="W46" s="14"/>
    </row>
    <row r="47" spans="6:23" x14ac:dyDescent="0.3">
      <c r="Q47" t="s">
        <v>139</v>
      </c>
      <c r="R47" t="s">
        <v>117</v>
      </c>
      <c r="S47">
        <v>17</v>
      </c>
      <c r="T47" t="s">
        <v>83</v>
      </c>
      <c r="U47">
        <v>812741</v>
      </c>
      <c r="V47" s="14">
        <v>68.583079999999995</v>
      </c>
      <c r="W47" s="14"/>
    </row>
    <row r="48" spans="6:23" x14ac:dyDescent="0.3">
      <c r="Q48" t="s">
        <v>139</v>
      </c>
      <c r="R48" t="s">
        <v>118</v>
      </c>
      <c r="S48">
        <v>100</v>
      </c>
      <c r="T48" t="s">
        <v>52</v>
      </c>
      <c r="U48">
        <v>162164</v>
      </c>
      <c r="V48" s="14">
        <v>69.650760000000005</v>
      </c>
      <c r="W48" s="14"/>
    </row>
    <row r="49" spans="13:23" x14ac:dyDescent="0.3">
      <c r="M49" s="8"/>
      <c r="Q49" t="s">
        <v>139</v>
      </c>
      <c r="R49" t="s">
        <v>121</v>
      </c>
      <c r="S49">
        <v>3</v>
      </c>
      <c r="T49" t="s">
        <v>81</v>
      </c>
      <c r="U49">
        <v>238850</v>
      </c>
      <c r="V49" s="14">
        <v>71.058269999999993</v>
      </c>
      <c r="W49" s="14"/>
    </row>
    <row r="50" spans="13:23" x14ac:dyDescent="0.3">
      <c r="Q50" t="s">
        <v>139</v>
      </c>
      <c r="R50" t="s">
        <v>123</v>
      </c>
      <c r="S50">
        <v>31</v>
      </c>
      <c r="T50" t="s">
        <v>79</v>
      </c>
      <c r="U50">
        <v>88518</v>
      </c>
      <c r="V50" s="14">
        <v>75.169889999999995</v>
      </c>
      <c r="W50" s="14"/>
    </row>
    <row r="51" spans="13:23" x14ac:dyDescent="0.3">
      <c r="Q51" t="s">
        <v>139</v>
      </c>
      <c r="R51" t="s">
        <v>117</v>
      </c>
      <c r="S51">
        <v>18</v>
      </c>
      <c r="T51" t="s">
        <v>69</v>
      </c>
      <c r="U51">
        <v>347154</v>
      </c>
      <c r="V51" s="14">
        <v>73.881500000000003</v>
      </c>
      <c r="W51" s="14"/>
    </row>
    <row r="52" spans="13:23" x14ac:dyDescent="0.3">
      <c r="Q52" t="s">
        <v>139</v>
      </c>
      <c r="R52" t="s">
        <v>118</v>
      </c>
      <c r="S52">
        <v>50</v>
      </c>
      <c r="T52" t="s">
        <v>71</v>
      </c>
      <c r="U52">
        <v>265738</v>
      </c>
      <c r="V52" s="14">
        <v>69.995530000000002</v>
      </c>
      <c r="W52" s="14"/>
    </row>
    <row r="53" spans="13:23" x14ac:dyDescent="0.3">
      <c r="Q53" t="s">
        <v>139</v>
      </c>
      <c r="R53" t="s">
        <v>125</v>
      </c>
      <c r="S53">
        <v>54</v>
      </c>
      <c r="T53" t="s">
        <v>45</v>
      </c>
      <c r="U53">
        <v>417208</v>
      </c>
      <c r="V53" s="14">
        <v>72.567070000000001</v>
      </c>
      <c r="W53" s="14"/>
    </row>
    <row r="54" spans="13:23" x14ac:dyDescent="0.3">
      <c r="Q54" t="s">
        <v>139</v>
      </c>
      <c r="R54" t="s">
        <v>121</v>
      </c>
      <c r="S54">
        <v>5</v>
      </c>
      <c r="T54" t="s">
        <v>56</v>
      </c>
      <c r="U54">
        <v>138154</v>
      </c>
      <c r="V54" s="14">
        <v>72.255759999999995</v>
      </c>
      <c r="W54" s="14"/>
    </row>
    <row r="55" spans="13:23" x14ac:dyDescent="0.3">
      <c r="Q55" t="s">
        <v>139</v>
      </c>
      <c r="R55" t="s">
        <v>117</v>
      </c>
      <c r="S55">
        <v>19</v>
      </c>
      <c r="T55" t="s">
        <v>97</v>
      </c>
      <c r="U55">
        <v>232594</v>
      </c>
      <c r="V55" s="14">
        <v>72.4499</v>
      </c>
      <c r="W55" s="14"/>
    </row>
    <row r="56" spans="13:23" x14ac:dyDescent="0.3">
      <c r="Q56" t="s">
        <v>139</v>
      </c>
      <c r="R56" t="s">
        <v>123</v>
      </c>
      <c r="S56">
        <v>93</v>
      </c>
      <c r="T56" t="s">
        <v>55</v>
      </c>
      <c r="U56">
        <v>203050</v>
      </c>
      <c r="V56" s="14">
        <v>71.756450000000001</v>
      </c>
      <c r="W56" s="14"/>
    </row>
    <row r="57" spans="13:23" x14ac:dyDescent="0.3">
      <c r="Q57" t="s">
        <v>139</v>
      </c>
      <c r="R57" t="s">
        <v>122</v>
      </c>
      <c r="S57">
        <v>24</v>
      </c>
      <c r="T57" t="s">
        <v>72</v>
      </c>
      <c r="U57">
        <v>565810</v>
      </c>
      <c r="V57" s="14">
        <v>71.875820000000004</v>
      </c>
      <c r="W57" s="14"/>
    </row>
    <row r="58" spans="13:23" x14ac:dyDescent="0.3">
      <c r="Q58" t="s">
        <v>139</v>
      </c>
      <c r="R58" t="s">
        <v>124</v>
      </c>
      <c r="S58">
        <v>38</v>
      </c>
      <c r="T58" t="s">
        <v>61</v>
      </c>
      <c r="U58">
        <v>225467</v>
      </c>
      <c r="V58" s="14">
        <v>68.798770000000005</v>
      </c>
      <c r="W58" s="14"/>
    </row>
    <row r="59" spans="13:23" x14ac:dyDescent="0.3">
      <c r="Q59" t="s">
        <v>139</v>
      </c>
      <c r="R59" t="s">
        <v>118</v>
      </c>
      <c r="S59">
        <v>52</v>
      </c>
      <c r="T59" t="s">
        <v>63</v>
      </c>
      <c r="U59">
        <v>168882</v>
      </c>
      <c r="V59" s="14">
        <v>71.588729999999998</v>
      </c>
      <c r="W59" s="14"/>
    </row>
    <row r="60" spans="13:23" x14ac:dyDescent="0.3">
      <c r="Q60" t="s">
        <v>139</v>
      </c>
      <c r="R60" t="s">
        <v>119</v>
      </c>
      <c r="S60">
        <v>9</v>
      </c>
      <c r="T60" t="s">
        <v>88</v>
      </c>
      <c r="U60">
        <v>173259</v>
      </c>
      <c r="V60" s="14">
        <v>69.591710000000006</v>
      </c>
      <c r="W60" s="14"/>
    </row>
    <row r="61" spans="13:23" x14ac:dyDescent="0.3">
      <c r="Q61" t="s">
        <v>139</v>
      </c>
      <c r="R61" t="s">
        <v>117</v>
      </c>
      <c r="S61">
        <v>16</v>
      </c>
      <c r="T61" t="s">
        <v>90</v>
      </c>
      <c r="U61">
        <v>717498</v>
      </c>
      <c r="V61" s="14">
        <v>65.077380000000005</v>
      </c>
      <c r="W61" s="14"/>
    </row>
    <row r="62" spans="13:23" x14ac:dyDescent="0.3">
      <c r="Q62" t="s">
        <v>139</v>
      </c>
      <c r="R62" t="s">
        <v>122</v>
      </c>
      <c r="S62">
        <v>23</v>
      </c>
      <c r="T62" t="s">
        <v>82</v>
      </c>
      <c r="U62">
        <v>590577</v>
      </c>
      <c r="V62" s="14">
        <v>73.042500000000004</v>
      </c>
      <c r="W62" s="14"/>
    </row>
    <row r="63" spans="13:23" x14ac:dyDescent="0.3">
      <c r="Q63" t="s">
        <v>139</v>
      </c>
      <c r="R63" t="s">
        <v>120</v>
      </c>
      <c r="S63">
        <v>44</v>
      </c>
      <c r="T63" t="s">
        <v>47</v>
      </c>
      <c r="U63">
        <v>248277</v>
      </c>
      <c r="V63" s="14">
        <v>73.418689999999998</v>
      </c>
      <c r="W63" s="14"/>
    </row>
    <row r="65" spans="22:22" x14ac:dyDescent="0.3">
      <c r="V65" s="23">
        <f>SUMPRODUCT(U2:U62, V2:V62)/SUM(U2:U62)</f>
        <v>70.632055170504927</v>
      </c>
    </row>
  </sheetData>
  <sortState xmlns:xlrd2="http://schemas.microsoft.com/office/spreadsheetml/2017/richdata2" ref="J2:J42">
    <sortCondition ref="J2:J42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1107-4C99-4D77-A44D-B4B2715A87C2}">
  <dimension ref="B1:K15"/>
  <sheetViews>
    <sheetView workbookViewId="0">
      <selection activeCell="C10" sqref="C10"/>
    </sheetView>
  </sheetViews>
  <sheetFormatPr defaultRowHeight="14.4" x14ac:dyDescent="0.3"/>
  <cols>
    <col min="2" max="2" width="16.21875" customWidth="1"/>
    <col min="3" max="3" width="11.44140625" customWidth="1"/>
    <col min="4" max="4" width="17.5546875" customWidth="1"/>
    <col min="6" max="6" width="20.5546875" customWidth="1"/>
    <col min="8" max="8" width="22.109375" customWidth="1"/>
    <col min="9" max="9" width="11.5546875" bestFit="1" customWidth="1"/>
    <col min="10" max="10" width="10.21875" bestFit="1" customWidth="1"/>
    <col min="11" max="11" width="17.6640625" customWidth="1"/>
  </cols>
  <sheetData>
    <row r="1" spans="2:11" ht="15" thickBot="1" x14ac:dyDescent="0.35">
      <c r="B1" s="7" t="s">
        <v>138</v>
      </c>
      <c r="C1" s="7"/>
      <c r="D1" s="7"/>
      <c r="F1" s="9" t="s">
        <v>105</v>
      </c>
      <c r="H1" s="20" t="s">
        <v>133</v>
      </c>
      <c r="I1" s="20"/>
      <c r="J1" s="20"/>
      <c r="K1" s="20"/>
    </row>
    <row r="2" spans="2:11" ht="15" thickBot="1" x14ac:dyDescent="0.35">
      <c r="B2" s="15" t="s">
        <v>136</v>
      </c>
      <c r="C2" s="22"/>
      <c r="D2" s="16"/>
      <c r="F2" s="54" t="s">
        <v>129</v>
      </c>
      <c r="H2" s="15" t="s">
        <v>136</v>
      </c>
      <c r="I2" s="22"/>
      <c r="J2" s="22"/>
      <c r="K2" s="16"/>
    </row>
    <row r="3" spans="2:11" x14ac:dyDescent="0.3">
      <c r="B3" s="38" t="s">
        <v>102</v>
      </c>
      <c r="C3" s="8">
        <v>8.3617446625901319</v>
      </c>
      <c r="D3" s="41"/>
      <c r="F3" s="52" t="s">
        <v>126</v>
      </c>
      <c r="H3" s="38" t="s">
        <v>102</v>
      </c>
      <c r="I3" s="8">
        <v>8.5280987028144999</v>
      </c>
      <c r="J3" s="8"/>
      <c r="K3" s="41"/>
    </row>
    <row r="4" spans="2:11" ht="15" thickBot="1" x14ac:dyDescent="0.35">
      <c r="B4" s="39" t="s">
        <v>134</v>
      </c>
      <c r="C4" s="8">
        <v>7.8444090653001526</v>
      </c>
      <c r="D4" s="47">
        <v>-0.51733559728997935</v>
      </c>
      <c r="F4" s="56">
        <v>8.6534309999999994</v>
      </c>
      <c r="H4" s="39" t="s">
        <v>134</v>
      </c>
      <c r="I4" s="8">
        <v>8.3000007047614766</v>
      </c>
      <c r="J4" s="25">
        <v>-0.22809799805302333</v>
      </c>
      <c r="K4" s="42">
        <v>-2.6746641426387896</v>
      </c>
    </row>
    <row r="5" spans="2:11" ht="15" thickBot="1" x14ac:dyDescent="0.35">
      <c r="B5" s="40" t="s">
        <v>135</v>
      </c>
      <c r="C5" s="43">
        <v>7.5579866188343559</v>
      </c>
      <c r="D5" s="48">
        <v>-0.80375804375577609</v>
      </c>
      <c r="H5" s="40" t="s">
        <v>135</v>
      </c>
      <c r="I5" s="43">
        <v>8.1712690614026346</v>
      </c>
      <c r="J5" s="29">
        <v>-0.35682964141186524</v>
      </c>
      <c r="K5" s="44">
        <v>-4.1841640657149242</v>
      </c>
    </row>
    <row r="6" spans="2:11" ht="15" thickBot="1" x14ac:dyDescent="0.35">
      <c r="I6" s="8"/>
      <c r="J6" s="8"/>
      <c r="K6" s="8"/>
    </row>
    <row r="7" spans="2:11" ht="15" thickBot="1" x14ac:dyDescent="0.35">
      <c r="B7" s="15" t="s">
        <v>144</v>
      </c>
      <c r="C7" s="22"/>
      <c r="D7" s="16"/>
      <c r="F7" s="54" t="s">
        <v>147</v>
      </c>
      <c r="H7" s="15" t="s">
        <v>144</v>
      </c>
      <c r="I7" s="45"/>
      <c r="J7" s="45"/>
      <c r="K7" s="46"/>
    </row>
    <row r="8" spans="2:11" x14ac:dyDescent="0.3">
      <c r="B8" s="38" t="s">
        <v>102</v>
      </c>
      <c r="C8" s="8">
        <v>57.316164865333846</v>
      </c>
      <c r="D8" s="41"/>
      <c r="F8" s="52" t="s">
        <v>126</v>
      </c>
      <c r="H8" s="38" t="s">
        <v>102</v>
      </c>
      <c r="I8" s="8">
        <v>64.987138776869131</v>
      </c>
      <c r="J8" s="8"/>
      <c r="K8" s="41"/>
    </row>
    <row r="9" spans="2:11" ht="15" thickBot="1" x14ac:dyDescent="0.35">
      <c r="B9" s="39" t="s">
        <v>134</v>
      </c>
      <c r="C9" s="8">
        <v>70.069999999999993</v>
      </c>
      <c r="D9" s="47">
        <v>12.815329827296651</v>
      </c>
      <c r="F9" s="56">
        <v>71.236019999999996</v>
      </c>
      <c r="H9" s="39" t="s">
        <v>134</v>
      </c>
      <c r="I9" s="8">
        <v>70.579379759629404</v>
      </c>
      <c r="J9" s="25">
        <v>5.5922409827603197</v>
      </c>
      <c r="K9" s="42">
        <v>8.6051503236064306</v>
      </c>
    </row>
    <row r="10" spans="2:11" ht="15" thickBot="1" x14ac:dyDescent="0.35">
      <c r="B10" s="40" t="s">
        <v>135</v>
      </c>
      <c r="C10" s="43">
        <v>71.239999999999995</v>
      </c>
      <c r="D10" s="48">
        <v>13.923835134666149</v>
      </c>
      <c r="H10" s="40" t="s">
        <v>135</v>
      </c>
      <c r="I10" s="43">
        <v>71.236019999999996</v>
      </c>
      <c r="J10" s="29">
        <v>6.2488812231308701</v>
      </c>
      <c r="K10" s="44">
        <v>9.6155660038921908</v>
      </c>
    </row>
    <row r="11" spans="2:11" ht="15" thickBot="1" x14ac:dyDescent="0.35">
      <c r="I11" s="8"/>
      <c r="J11" s="8"/>
      <c r="K11" s="8"/>
    </row>
    <row r="12" spans="2:11" ht="15" thickBot="1" x14ac:dyDescent="0.35">
      <c r="B12" s="15" t="s">
        <v>145</v>
      </c>
      <c r="C12" s="45"/>
      <c r="D12" s="46"/>
      <c r="F12" s="54" t="s">
        <v>148</v>
      </c>
      <c r="H12" s="15" t="s">
        <v>145</v>
      </c>
      <c r="I12" s="45"/>
      <c r="J12" s="45"/>
      <c r="K12" s="46"/>
    </row>
    <row r="13" spans="2:11" x14ac:dyDescent="0.3">
      <c r="B13" s="38" t="s">
        <v>102</v>
      </c>
      <c r="C13" s="8">
        <f>C3*C8*160/100</f>
        <v>766.82101702854618</v>
      </c>
      <c r="D13" s="41"/>
      <c r="F13" s="55">
        <f>F4*F9*160/100</f>
        <v>986.29757405539192</v>
      </c>
      <c r="H13" s="38" t="s">
        <v>102</v>
      </c>
      <c r="I13" s="8">
        <f>I3*I8*160/100</f>
        <v>886.74677424422975</v>
      </c>
      <c r="J13" s="8"/>
      <c r="K13" s="41"/>
    </row>
    <row r="14" spans="2:11" ht="15" thickBot="1" x14ac:dyDescent="0.35">
      <c r="B14" s="39" t="s">
        <v>134</v>
      </c>
      <c r="C14" s="8">
        <f>C4*C9*160/100</f>
        <v>879.45238912893046</v>
      </c>
      <c r="D14" s="49">
        <f>C14-C13</f>
        <v>112.63137210038428</v>
      </c>
      <c r="F14" s="18"/>
      <c r="H14" s="39" t="s">
        <v>134</v>
      </c>
      <c r="I14" s="8">
        <f>I4*I9*160/100</f>
        <v>937.29424279448301</v>
      </c>
      <c r="J14" s="25">
        <f>I14-I13</f>
        <v>50.547468550253257</v>
      </c>
      <c r="K14" s="42">
        <f>((J14*100)/I13)</f>
        <v>5.7003273108418835</v>
      </c>
    </row>
    <row r="15" spans="2:11" ht="15" thickBot="1" x14ac:dyDescent="0.35">
      <c r="B15" s="40" t="s">
        <v>135</v>
      </c>
      <c r="C15" s="43">
        <f>C5*C10*160/100</f>
        <v>861.48954676121514</v>
      </c>
      <c r="D15" s="34">
        <f>C15-C13</f>
        <v>94.668529732668958</v>
      </c>
      <c r="H15" s="40" t="s">
        <v>135</v>
      </c>
      <c r="I15" s="43">
        <f>I5*I10*160/100</f>
        <v>931.34189805353492</v>
      </c>
      <c r="J15" s="29">
        <f>I15-I13</f>
        <v>44.595123809305164</v>
      </c>
      <c r="K15" s="44">
        <f>((J15*100)/I13)</f>
        <v>5.0290708807272955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4629-527C-4457-B6CC-4EF6BED0D719}">
  <dimension ref="A1:V77"/>
  <sheetViews>
    <sheetView workbookViewId="0">
      <selection activeCell="L22" sqref="L22"/>
    </sheetView>
  </sheetViews>
  <sheetFormatPr defaultRowHeight="14.4" x14ac:dyDescent="0.3"/>
  <cols>
    <col min="3" max="3" width="16.77734375" customWidth="1"/>
    <col min="5" max="5" width="19" customWidth="1"/>
    <col min="7" max="7" width="10.5546875" bestFit="1" customWidth="1"/>
    <col min="8" max="8" width="10.109375" bestFit="1" customWidth="1"/>
    <col min="10" max="10" width="10.109375" bestFit="1" customWidth="1"/>
    <col min="11" max="11" width="10.109375" customWidth="1"/>
    <col min="17" max="18" width="9.5546875" bestFit="1" customWidth="1"/>
    <col min="20" max="21" width="10.6640625" customWidth="1"/>
    <col min="22" max="22" width="10.5546875" bestFit="1" customWidth="1"/>
  </cols>
  <sheetData>
    <row r="1" spans="1:22" x14ac:dyDescent="0.3">
      <c r="A1" t="s">
        <v>149</v>
      </c>
      <c r="B1" t="s">
        <v>150</v>
      </c>
      <c r="C1" t="s">
        <v>106</v>
      </c>
      <c r="D1" t="s">
        <v>107</v>
      </c>
      <c r="E1" t="s">
        <v>104</v>
      </c>
      <c r="F1" t="s">
        <v>151</v>
      </c>
      <c r="G1" t="s">
        <v>153</v>
      </c>
      <c r="H1" t="s">
        <v>155</v>
      </c>
      <c r="I1" t="s">
        <v>154</v>
      </c>
      <c r="J1" t="s">
        <v>152</v>
      </c>
      <c r="L1" t="s">
        <v>150</v>
      </c>
      <c r="M1" t="s">
        <v>106</v>
      </c>
      <c r="N1" t="s">
        <v>107</v>
      </c>
      <c r="O1" t="s">
        <v>104</v>
      </c>
      <c r="P1" t="s">
        <v>151</v>
      </c>
      <c r="Q1" t="s">
        <v>153</v>
      </c>
      <c r="R1" t="s">
        <v>155</v>
      </c>
      <c r="S1" t="s">
        <v>154</v>
      </c>
      <c r="T1" t="s">
        <v>152</v>
      </c>
      <c r="V1" s="20" t="s">
        <v>146</v>
      </c>
    </row>
    <row r="2" spans="1:22" x14ac:dyDescent="0.3">
      <c r="A2" t="s">
        <v>146</v>
      </c>
      <c r="B2">
        <v>0</v>
      </c>
      <c r="C2" t="s">
        <v>160</v>
      </c>
      <c r="D2">
        <v>1202</v>
      </c>
      <c r="E2" t="s">
        <v>163</v>
      </c>
      <c r="F2">
        <v>2010</v>
      </c>
      <c r="G2">
        <v>52556</v>
      </c>
      <c r="H2" s="4">
        <v>74.049899999999994</v>
      </c>
      <c r="I2">
        <v>74.2</v>
      </c>
      <c r="J2" s="14">
        <v>89.80968</v>
      </c>
      <c r="K2" s="14"/>
      <c r="L2">
        <v>1</v>
      </c>
      <c r="M2" t="s">
        <v>186</v>
      </c>
      <c r="N2">
        <v>509</v>
      </c>
      <c r="O2" t="s">
        <v>196</v>
      </c>
      <c r="P2">
        <v>2010</v>
      </c>
      <c r="Q2">
        <v>53558</v>
      </c>
      <c r="R2" s="4">
        <v>101.12</v>
      </c>
      <c r="S2">
        <v>64</v>
      </c>
      <c r="T2" s="14">
        <v>90.310509999999994</v>
      </c>
      <c r="U2" s="4"/>
      <c r="V2" s="59">
        <f>((G25*22)+(Q77*74))/96</f>
        <v>52901.437499999993</v>
      </c>
    </row>
    <row r="3" spans="1:22" x14ac:dyDescent="0.3">
      <c r="A3" t="s">
        <v>146</v>
      </c>
      <c r="B3">
        <v>0</v>
      </c>
      <c r="C3" t="s">
        <v>166</v>
      </c>
      <c r="D3">
        <v>1604</v>
      </c>
      <c r="E3" t="s">
        <v>180</v>
      </c>
      <c r="F3">
        <v>2010</v>
      </c>
      <c r="G3">
        <v>41942</v>
      </c>
      <c r="H3" s="4">
        <v>69.768460000000005</v>
      </c>
      <c r="I3">
        <v>78.099999999999994</v>
      </c>
      <c r="J3" s="14">
        <v>87.404510000000002</v>
      </c>
      <c r="K3" s="14"/>
      <c r="L3">
        <v>1</v>
      </c>
      <c r="M3" t="s">
        <v>215</v>
      </c>
      <c r="N3">
        <v>1001</v>
      </c>
      <c r="O3" t="s">
        <v>216</v>
      </c>
      <c r="P3">
        <v>2010</v>
      </c>
      <c r="Q3">
        <v>52753</v>
      </c>
      <c r="R3" s="4">
        <v>94.589420000000004</v>
      </c>
      <c r="S3">
        <v>67.3</v>
      </c>
      <c r="T3" s="14">
        <v>92.897679999999994</v>
      </c>
      <c r="U3" s="4"/>
      <c r="V3" s="60">
        <f>((H25*22)+(R77*74))/96</f>
        <v>91.602708229166652</v>
      </c>
    </row>
    <row r="4" spans="1:22" x14ac:dyDescent="0.3">
      <c r="A4" t="s">
        <v>146</v>
      </c>
      <c r="B4">
        <v>0</v>
      </c>
      <c r="C4" t="s">
        <v>158</v>
      </c>
      <c r="D4">
        <v>1404</v>
      </c>
      <c r="E4" t="s">
        <v>168</v>
      </c>
      <c r="F4">
        <v>2010</v>
      </c>
      <c r="G4">
        <v>44175</v>
      </c>
      <c r="H4" s="4">
        <v>75.208039999999997</v>
      </c>
      <c r="I4">
        <v>70.7</v>
      </c>
      <c r="J4" s="14">
        <v>87.925690000000003</v>
      </c>
      <c r="K4" s="14"/>
      <c r="L4">
        <v>1</v>
      </c>
      <c r="M4" t="s">
        <v>192</v>
      </c>
      <c r="N4">
        <v>309</v>
      </c>
      <c r="O4" t="s">
        <v>226</v>
      </c>
      <c r="P4">
        <v>2010</v>
      </c>
      <c r="Q4">
        <v>44493</v>
      </c>
      <c r="R4" s="4">
        <v>86.231700000000004</v>
      </c>
      <c r="S4">
        <v>66.400000000000006</v>
      </c>
      <c r="T4" s="14">
        <v>98.118009999999998</v>
      </c>
      <c r="U4" s="4"/>
      <c r="V4" s="61">
        <f>((I25*22)+(S77*74))/96</f>
        <v>72.05625000000002</v>
      </c>
    </row>
    <row r="5" spans="1:22" x14ac:dyDescent="0.3">
      <c r="A5" t="s">
        <v>146</v>
      </c>
      <c r="B5">
        <v>0</v>
      </c>
      <c r="C5" t="s">
        <v>164</v>
      </c>
      <c r="D5">
        <v>1501</v>
      </c>
      <c r="E5" t="s">
        <v>176</v>
      </c>
      <c r="F5">
        <v>2010</v>
      </c>
      <c r="G5">
        <v>40509</v>
      </c>
      <c r="H5" s="4">
        <v>69.395259999999993</v>
      </c>
      <c r="I5">
        <v>71.599999999999994</v>
      </c>
      <c r="J5" s="14">
        <v>82.596040000000002</v>
      </c>
      <c r="K5" s="14"/>
      <c r="L5">
        <v>1</v>
      </c>
      <c r="M5" t="s">
        <v>192</v>
      </c>
      <c r="N5">
        <v>301</v>
      </c>
      <c r="O5" t="s">
        <v>242</v>
      </c>
      <c r="P5">
        <v>2010</v>
      </c>
      <c r="Q5">
        <v>63709</v>
      </c>
      <c r="R5" s="4">
        <v>98.813230000000004</v>
      </c>
      <c r="S5">
        <v>70.3</v>
      </c>
      <c r="T5" s="14">
        <v>90.552589999999995</v>
      </c>
      <c r="U5" s="4"/>
      <c r="V5" s="62">
        <f>((J25*22)+(T77*74))/96</f>
        <v>100.00000031250003</v>
      </c>
    </row>
    <row r="6" spans="1:22" x14ac:dyDescent="0.3">
      <c r="A6" t="s">
        <v>146</v>
      </c>
      <c r="B6">
        <v>0</v>
      </c>
      <c r="C6" t="s">
        <v>166</v>
      </c>
      <c r="D6">
        <v>1603</v>
      </c>
      <c r="E6" t="s">
        <v>167</v>
      </c>
      <c r="F6">
        <v>2010</v>
      </c>
      <c r="G6">
        <v>41641</v>
      </c>
      <c r="H6" s="4">
        <v>69.78201</v>
      </c>
      <c r="I6">
        <v>73.8</v>
      </c>
      <c r="J6" s="14">
        <v>92.009479999999996</v>
      </c>
      <c r="K6" s="14"/>
      <c r="L6">
        <v>1</v>
      </c>
      <c r="M6" t="s">
        <v>183</v>
      </c>
      <c r="N6">
        <v>907</v>
      </c>
      <c r="O6" t="s">
        <v>252</v>
      </c>
      <c r="P6">
        <v>2010</v>
      </c>
      <c r="Q6">
        <v>74393</v>
      </c>
      <c r="R6" s="4">
        <v>105.38930000000001</v>
      </c>
      <c r="S6">
        <v>77.599999999999994</v>
      </c>
      <c r="T6" s="14">
        <v>116.5363</v>
      </c>
      <c r="U6" s="4"/>
    </row>
    <row r="7" spans="1:22" x14ac:dyDescent="0.3">
      <c r="A7" t="s">
        <v>146</v>
      </c>
      <c r="B7">
        <v>0</v>
      </c>
      <c r="C7" t="s">
        <v>156</v>
      </c>
      <c r="D7">
        <v>1304</v>
      </c>
      <c r="E7" t="s">
        <v>171</v>
      </c>
      <c r="F7">
        <v>2010</v>
      </c>
      <c r="G7">
        <v>40844</v>
      </c>
      <c r="H7" s="4">
        <v>76.037739999999999</v>
      </c>
      <c r="I7">
        <v>74.400000000000006</v>
      </c>
      <c r="J7" s="14">
        <v>93.099670000000003</v>
      </c>
      <c r="K7" s="14"/>
      <c r="L7">
        <v>1</v>
      </c>
      <c r="M7" t="s">
        <v>192</v>
      </c>
      <c r="N7">
        <v>308</v>
      </c>
      <c r="O7" t="s">
        <v>239</v>
      </c>
      <c r="P7">
        <v>2010</v>
      </c>
      <c r="Q7">
        <v>50954</v>
      </c>
      <c r="R7" s="4">
        <v>92.126289999999997</v>
      </c>
      <c r="S7">
        <v>69.5</v>
      </c>
      <c r="T7" s="14">
        <v>87.352459999999994</v>
      </c>
      <c r="U7" s="4"/>
    </row>
    <row r="8" spans="1:22" x14ac:dyDescent="0.3">
      <c r="A8" t="s">
        <v>146</v>
      </c>
      <c r="B8">
        <v>0</v>
      </c>
      <c r="C8" t="s">
        <v>160</v>
      </c>
      <c r="D8">
        <v>1205</v>
      </c>
      <c r="E8" t="s">
        <v>182</v>
      </c>
      <c r="F8">
        <v>2010</v>
      </c>
      <c r="G8">
        <v>45122</v>
      </c>
      <c r="H8" s="4">
        <v>71.540629999999993</v>
      </c>
      <c r="I8">
        <v>72.3</v>
      </c>
      <c r="J8" s="14">
        <v>95.987520000000004</v>
      </c>
      <c r="K8" s="14"/>
      <c r="L8">
        <v>1</v>
      </c>
      <c r="M8" t="s">
        <v>183</v>
      </c>
      <c r="N8">
        <v>903</v>
      </c>
      <c r="O8" t="s">
        <v>209</v>
      </c>
      <c r="P8">
        <v>2010</v>
      </c>
      <c r="Q8">
        <v>59176</v>
      </c>
      <c r="R8" s="4">
        <v>97.305599999999998</v>
      </c>
      <c r="S8">
        <v>77.3</v>
      </c>
      <c r="T8" s="14">
        <v>103.637</v>
      </c>
      <c r="U8" s="4"/>
    </row>
    <row r="9" spans="1:22" x14ac:dyDescent="0.3">
      <c r="A9" t="s">
        <v>146</v>
      </c>
      <c r="B9">
        <v>0</v>
      </c>
      <c r="C9" t="s">
        <v>166</v>
      </c>
      <c r="D9">
        <v>1602</v>
      </c>
      <c r="E9" t="s">
        <v>172</v>
      </c>
      <c r="F9">
        <v>2010</v>
      </c>
      <c r="G9">
        <v>39230</v>
      </c>
      <c r="H9" s="4">
        <v>68.898039999999995</v>
      </c>
      <c r="I9">
        <v>72.8</v>
      </c>
      <c r="J9" s="14">
        <v>85.331739999999996</v>
      </c>
      <c r="K9" s="14"/>
      <c r="L9">
        <v>1</v>
      </c>
      <c r="M9" t="s">
        <v>198</v>
      </c>
      <c r="N9">
        <v>810</v>
      </c>
      <c r="O9" t="s">
        <v>217</v>
      </c>
      <c r="P9">
        <v>2010</v>
      </c>
      <c r="Q9">
        <v>69644</v>
      </c>
      <c r="R9" s="4">
        <v>109.0919</v>
      </c>
      <c r="S9">
        <v>74.7</v>
      </c>
      <c r="T9" s="14">
        <v>127.84610000000001</v>
      </c>
      <c r="U9" s="4"/>
      <c r="V9" s="6"/>
    </row>
    <row r="10" spans="1:22" x14ac:dyDescent="0.3">
      <c r="A10" t="s">
        <v>146</v>
      </c>
      <c r="B10">
        <v>0</v>
      </c>
      <c r="C10" t="s">
        <v>158</v>
      </c>
      <c r="D10">
        <v>1402</v>
      </c>
      <c r="E10" t="s">
        <v>178</v>
      </c>
      <c r="F10">
        <v>2010</v>
      </c>
      <c r="G10">
        <v>41542</v>
      </c>
      <c r="H10" s="4">
        <v>67.965999999999994</v>
      </c>
      <c r="I10">
        <v>71.400000000000006</v>
      </c>
      <c r="J10" s="14">
        <v>84.148319999999998</v>
      </c>
      <c r="K10" s="14"/>
      <c r="L10">
        <v>1</v>
      </c>
      <c r="M10" t="s">
        <v>186</v>
      </c>
      <c r="N10">
        <v>503</v>
      </c>
      <c r="O10" t="s">
        <v>188</v>
      </c>
      <c r="P10">
        <v>2010</v>
      </c>
      <c r="Q10">
        <v>54529</v>
      </c>
      <c r="R10" s="4">
        <v>95.148219999999995</v>
      </c>
      <c r="S10">
        <v>71</v>
      </c>
      <c r="T10" s="14">
        <v>92.459990000000005</v>
      </c>
      <c r="U10" s="4"/>
    </row>
    <row r="11" spans="1:22" x14ac:dyDescent="0.3">
      <c r="A11" t="s">
        <v>146</v>
      </c>
      <c r="B11">
        <v>0</v>
      </c>
      <c r="C11" t="s">
        <v>160</v>
      </c>
      <c r="D11">
        <v>1204</v>
      </c>
      <c r="E11" t="s">
        <v>177</v>
      </c>
      <c r="F11">
        <v>2010</v>
      </c>
      <c r="G11">
        <v>45585</v>
      </c>
      <c r="H11" s="4">
        <v>72.495930000000001</v>
      </c>
      <c r="I11">
        <v>74</v>
      </c>
      <c r="J11" s="14">
        <v>90.217609999999993</v>
      </c>
      <c r="K11" s="14"/>
      <c r="L11">
        <v>1</v>
      </c>
      <c r="M11" t="s">
        <v>198</v>
      </c>
      <c r="N11">
        <v>806</v>
      </c>
      <c r="O11" t="s">
        <v>254</v>
      </c>
      <c r="P11">
        <v>2010</v>
      </c>
      <c r="Q11">
        <v>54083</v>
      </c>
      <c r="R11" s="4">
        <v>100.9064</v>
      </c>
      <c r="S11">
        <v>73.7</v>
      </c>
      <c r="T11" s="14">
        <v>116.89579999999999</v>
      </c>
      <c r="U11" s="4"/>
    </row>
    <row r="12" spans="1:22" x14ac:dyDescent="0.3">
      <c r="A12" t="s">
        <v>146</v>
      </c>
      <c r="B12">
        <v>0</v>
      </c>
      <c r="C12" t="s">
        <v>160</v>
      </c>
      <c r="D12">
        <v>1203</v>
      </c>
      <c r="E12" t="s">
        <v>161</v>
      </c>
      <c r="F12">
        <v>2010</v>
      </c>
      <c r="G12">
        <v>43804</v>
      </c>
      <c r="H12" s="4">
        <v>73.883319999999998</v>
      </c>
      <c r="I12">
        <v>73.5</v>
      </c>
      <c r="J12" s="14">
        <v>93.656009999999995</v>
      </c>
      <c r="K12" s="14"/>
      <c r="L12">
        <v>1</v>
      </c>
      <c r="M12" t="s">
        <v>183</v>
      </c>
      <c r="N12">
        <v>906</v>
      </c>
      <c r="O12" t="s">
        <v>244</v>
      </c>
      <c r="P12">
        <v>2010</v>
      </c>
      <c r="Q12">
        <v>57639</v>
      </c>
      <c r="R12" s="4">
        <v>101.2826</v>
      </c>
      <c r="S12">
        <v>74.2</v>
      </c>
      <c r="T12" s="14">
        <v>111.0455</v>
      </c>
      <c r="U12" s="4"/>
    </row>
    <row r="13" spans="1:22" x14ac:dyDescent="0.3">
      <c r="A13" t="s">
        <v>146</v>
      </c>
      <c r="B13">
        <v>0</v>
      </c>
      <c r="C13" t="s">
        <v>162</v>
      </c>
      <c r="D13">
        <v>1101</v>
      </c>
      <c r="E13" t="s">
        <v>162</v>
      </c>
      <c r="F13">
        <v>2010</v>
      </c>
      <c r="G13">
        <v>55032</v>
      </c>
      <c r="H13" s="4">
        <v>91.177940000000007</v>
      </c>
      <c r="I13">
        <v>67.099999999999994</v>
      </c>
      <c r="J13" s="14">
        <v>104.10850000000001</v>
      </c>
      <c r="K13" s="14"/>
      <c r="L13">
        <v>1</v>
      </c>
      <c r="M13" t="s">
        <v>198</v>
      </c>
      <c r="N13">
        <v>801</v>
      </c>
      <c r="O13" t="s">
        <v>220</v>
      </c>
      <c r="P13">
        <v>2010</v>
      </c>
      <c r="Q13">
        <v>56741</v>
      </c>
      <c r="R13" s="4">
        <v>100.6985</v>
      </c>
      <c r="S13">
        <v>76</v>
      </c>
      <c r="T13" s="14">
        <v>113.2222</v>
      </c>
      <c r="U13" s="4"/>
    </row>
    <row r="14" spans="1:22" x14ac:dyDescent="0.3">
      <c r="A14" t="s">
        <v>146</v>
      </c>
      <c r="B14">
        <v>0</v>
      </c>
      <c r="C14" t="s">
        <v>158</v>
      </c>
      <c r="D14">
        <v>1403</v>
      </c>
      <c r="E14" t="s">
        <v>159</v>
      </c>
      <c r="F14">
        <v>2010</v>
      </c>
      <c r="G14">
        <v>41732</v>
      </c>
      <c r="H14" s="4">
        <v>68.484859999999998</v>
      </c>
      <c r="I14">
        <v>73.900000000000006</v>
      </c>
      <c r="J14" s="14">
        <v>84.192329999999998</v>
      </c>
      <c r="K14" s="14"/>
      <c r="L14">
        <v>1</v>
      </c>
      <c r="M14" t="s">
        <v>192</v>
      </c>
      <c r="N14">
        <v>302</v>
      </c>
      <c r="O14" t="s">
        <v>257</v>
      </c>
      <c r="P14">
        <v>2010</v>
      </c>
      <c r="Q14">
        <v>48461</v>
      </c>
      <c r="R14" s="4">
        <v>91.395629999999997</v>
      </c>
      <c r="S14">
        <v>73.7</v>
      </c>
      <c r="T14" s="14">
        <v>93.346339999999998</v>
      </c>
      <c r="U14" s="4"/>
    </row>
    <row r="15" spans="1:22" x14ac:dyDescent="0.3">
      <c r="A15" t="s">
        <v>146</v>
      </c>
      <c r="B15">
        <v>0</v>
      </c>
      <c r="C15" t="s">
        <v>156</v>
      </c>
      <c r="D15">
        <v>1303</v>
      </c>
      <c r="E15" t="s">
        <v>174</v>
      </c>
      <c r="F15">
        <v>2010</v>
      </c>
      <c r="G15">
        <v>38616</v>
      </c>
      <c r="H15" s="4">
        <v>71.630610000000004</v>
      </c>
      <c r="I15">
        <v>68.099999999999994</v>
      </c>
      <c r="J15" s="14">
        <v>98.820679999999996</v>
      </c>
      <c r="K15" s="14"/>
      <c r="L15">
        <v>1</v>
      </c>
      <c r="M15" t="s">
        <v>186</v>
      </c>
      <c r="N15">
        <v>504</v>
      </c>
      <c r="O15" t="s">
        <v>187</v>
      </c>
      <c r="P15">
        <v>2010</v>
      </c>
      <c r="Q15">
        <v>52812</v>
      </c>
      <c r="R15" s="4">
        <v>97.731300000000005</v>
      </c>
      <c r="S15">
        <v>67.3</v>
      </c>
      <c r="T15" s="14">
        <v>91.392529999999994</v>
      </c>
      <c r="U15" s="4"/>
    </row>
    <row r="16" spans="1:22" x14ac:dyDescent="0.3">
      <c r="A16" t="s">
        <v>146</v>
      </c>
      <c r="B16">
        <v>0</v>
      </c>
      <c r="C16" t="s">
        <v>164</v>
      </c>
      <c r="D16">
        <v>1502</v>
      </c>
      <c r="E16" t="s">
        <v>165</v>
      </c>
      <c r="F16">
        <v>2010</v>
      </c>
      <c r="G16">
        <v>46155</v>
      </c>
      <c r="H16" s="4">
        <v>71.205629999999999</v>
      </c>
      <c r="I16">
        <v>71.7</v>
      </c>
      <c r="J16" s="14">
        <v>87.468090000000004</v>
      </c>
      <c r="K16" s="14"/>
      <c r="L16">
        <v>1</v>
      </c>
      <c r="M16" t="s">
        <v>186</v>
      </c>
      <c r="N16">
        <v>501</v>
      </c>
      <c r="O16" t="s">
        <v>211</v>
      </c>
      <c r="P16">
        <v>2010</v>
      </c>
      <c r="Q16">
        <v>50864</v>
      </c>
      <c r="R16" s="4">
        <v>97.981840000000005</v>
      </c>
      <c r="S16">
        <v>65.3</v>
      </c>
      <c r="T16" s="14">
        <v>98.333340000000007</v>
      </c>
      <c r="U16" s="4"/>
    </row>
    <row r="17" spans="1:21" x14ac:dyDescent="0.3">
      <c r="A17" t="s">
        <v>146</v>
      </c>
      <c r="B17">
        <v>0</v>
      </c>
      <c r="C17" t="s">
        <v>158</v>
      </c>
      <c r="D17">
        <v>1401</v>
      </c>
      <c r="E17" t="s">
        <v>181</v>
      </c>
      <c r="F17">
        <v>2010</v>
      </c>
      <c r="G17">
        <v>45529</v>
      </c>
      <c r="H17" s="4">
        <v>75.031419999999997</v>
      </c>
      <c r="I17">
        <v>72.8</v>
      </c>
      <c r="J17" s="14">
        <v>96.076030000000003</v>
      </c>
      <c r="K17" s="14"/>
      <c r="L17">
        <v>1</v>
      </c>
      <c r="M17" t="s">
        <v>186</v>
      </c>
      <c r="N17">
        <v>513</v>
      </c>
      <c r="O17" t="s">
        <v>205</v>
      </c>
      <c r="P17">
        <v>2010</v>
      </c>
      <c r="Q17">
        <v>53463</v>
      </c>
      <c r="R17" s="4">
        <v>99.779799999999994</v>
      </c>
      <c r="S17">
        <v>73.900000000000006</v>
      </c>
      <c r="T17" s="14">
        <v>93.824010000000001</v>
      </c>
      <c r="U17" s="4"/>
    </row>
    <row r="18" spans="1:21" x14ac:dyDescent="0.3">
      <c r="A18" t="s">
        <v>146</v>
      </c>
      <c r="B18">
        <v>0</v>
      </c>
      <c r="C18" t="s">
        <v>166</v>
      </c>
      <c r="D18">
        <v>1601</v>
      </c>
      <c r="E18" t="s">
        <v>179</v>
      </c>
      <c r="F18">
        <v>2010</v>
      </c>
      <c r="G18">
        <v>42148</v>
      </c>
      <c r="H18" s="4">
        <v>73.750370000000004</v>
      </c>
      <c r="I18">
        <v>72.2</v>
      </c>
      <c r="J18" s="14">
        <v>93.907110000000003</v>
      </c>
      <c r="K18" s="14"/>
      <c r="L18">
        <v>1</v>
      </c>
      <c r="M18" t="s">
        <v>194</v>
      </c>
      <c r="N18">
        <v>603</v>
      </c>
      <c r="O18" t="s">
        <v>230</v>
      </c>
      <c r="P18">
        <v>2010</v>
      </c>
      <c r="Q18">
        <v>54042</v>
      </c>
      <c r="R18" s="4">
        <v>87.685029999999998</v>
      </c>
      <c r="S18">
        <v>72.400000000000006</v>
      </c>
      <c r="T18" s="14">
        <v>84.671059999999997</v>
      </c>
      <c r="U18" s="4"/>
    </row>
    <row r="19" spans="1:21" x14ac:dyDescent="0.3">
      <c r="A19" t="s">
        <v>146</v>
      </c>
      <c r="B19">
        <v>0</v>
      </c>
      <c r="C19" t="s">
        <v>156</v>
      </c>
      <c r="D19">
        <v>1301</v>
      </c>
      <c r="E19" t="s">
        <v>175</v>
      </c>
      <c r="F19">
        <v>2010</v>
      </c>
      <c r="G19">
        <v>40635</v>
      </c>
      <c r="H19" s="4">
        <v>72.036100000000005</v>
      </c>
      <c r="I19">
        <v>70.900000000000006</v>
      </c>
      <c r="J19" s="14">
        <v>87.873779999999996</v>
      </c>
      <c r="K19" s="14"/>
      <c r="L19">
        <v>1</v>
      </c>
      <c r="M19" t="s">
        <v>183</v>
      </c>
      <c r="N19">
        <v>909</v>
      </c>
      <c r="O19" t="s">
        <v>200</v>
      </c>
      <c r="P19">
        <v>2010</v>
      </c>
      <c r="Q19">
        <v>51561</v>
      </c>
      <c r="R19" s="4">
        <v>95.315730000000002</v>
      </c>
      <c r="S19">
        <v>76.900000000000006</v>
      </c>
      <c r="T19" s="14">
        <v>86.114149999999995</v>
      </c>
      <c r="U19" s="4"/>
    </row>
    <row r="20" spans="1:21" x14ac:dyDescent="0.3">
      <c r="A20" t="s">
        <v>146</v>
      </c>
      <c r="B20">
        <v>0</v>
      </c>
      <c r="C20" t="s">
        <v>164</v>
      </c>
      <c r="D20">
        <v>1503</v>
      </c>
      <c r="E20" t="s">
        <v>173</v>
      </c>
      <c r="F20">
        <v>2010</v>
      </c>
      <c r="G20">
        <v>46507</v>
      </c>
      <c r="H20" s="4">
        <v>75.066509999999994</v>
      </c>
      <c r="I20">
        <v>69</v>
      </c>
      <c r="J20" s="14">
        <v>88.384680000000003</v>
      </c>
      <c r="K20" s="14"/>
      <c r="L20">
        <v>1</v>
      </c>
      <c r="M20" t="s">
        <v>192</v>
      </c>
      <c r="N20">
        <v>305</v>
      </c>
      <c r="O20" t="s">
        <v>193</v>
      </c>
      <c r="P20">
        <v>2010</v>
      </c>
      <c r="Q20">
        <v>50693</v>
      </c>
      <c r="R20" s="4">
        <v>89.164670000000001</v>
      </c>
      <c r="S20">
        <v>68</v>
      </c>
      <c r="T20" s="14">
        <v>91.957530000000006</v>
      </c>
      <c r="U20" s="4"/>
    </row>
    <row r="21" spans="1:21" x14ac:dyDescent="0.3">
      <c r="A21" t="s">
        <v>146</v>
      </c>
      <c r="B21">
        <v>0</v>
      </c>
      <c r="C21" t="s">
        <v>160</v>
      </c>
      <c r="D21">
        <v>1201</v>
      </c>
      <c r="E21" t="s">
        <v>169</v>
      </c>
      <c r="F21">
        <v>2010</v>
      </c>
      <c r="G21">
        <v>44302</v>
      </c>
      <c r="H21" s="4">
        <v>77.738</v>
      </c>
      <c r="I21">
        <v>76.099999999999994</v>
      </c>
      <c r="J21" s="14">
        <v>103.8094</v>
      </c>
      <c r="K21" s="14"/>
      <c r="L21">
        <v>1</v>
      </c>
      <c r="M21" t="s">
        <v>192</v>
      </c>
      <c r="N21">
        <v>307</v>
      </c>
      <c r="O21" t="s">
        <v>259</v>
      </c>
      <c r="P21">
        <v>2010</v>
      </c>
      <c r="Q21">
        <v>58203</v>
      </c>
      <c r="R21" s="4">
        <v>99.18347</v>
      </c>
      <c r="S21">
        <v>69.599999999999994</v>
      </c>
      <c r="T21" s="14">
        <v>98.737740000000002</v>
      </c>
      <c r="U21" s="4"/>
    </row>
    <row r="22" spans="1:21" x14ac:dyDescent="0.3">
      <c r="A22" t="s">
        <v>146</v>
      </c>
      <c r="B22">
        <v>0</v>
      </c>
      <c r="C22" t="s">
        <v>156</v>
      </c>
      <c r="D22">
        <v>1302</v>
      </c>
      <c r="E22" t="s">
        <v>157</v>
      </c>
      <c r="F22">
        <v>2010</v>
      </c>
      <c r="G22">
        <v>47608</v>
      </c>
      <c r="H22" s="4">
        <v>74.996570000000006</v>
      </c>
      <c r="I22">
        <v>70.400000000000006</v>
      </c>
      <c r="J22" s="14">
        <v>100.6563</v>
      </c>
      <c r="K22" s="14"/>
      <c r="L22">
        <v>1</v>
      </c>
      <c r="M22" t="s">
        <v>198</v>
      </c>
      <c r="N22">
        <v>807</v>
      </c>
      <c r="O22" t="s">
        <v>262</v>
      </c>
      <c r="P22">
        <v>2010</v>
      </c>
      <c r="Q22">
        <v>53813</v>
      </c>
      <c r="R22" s="4">
        <v>97.86891</v>
      </c>
      <c r="S22">
        <v>76.599999999999994</v>
      </c>
      <c r="T22" s="14">
        <v>100.7406</v>
      </c>
      <c r="U22" s="4"/>
    </row>
    <row r="23" spans="1:21" x14ac:dyDescent="0.3">
      <c r="A23" t="s">
        <v>146</v>
      </c>
      <c r="B23">
        <v>0</v>
      </c>
      <c r="C23" t="s">
        <v>164</v>
      </c>
      <c r="D23">
        <v>1504</v>
      </c>
      <c r="E23" t="s">
        <v>170</v>
      </c>
      <c r="F23">
        <v>2010</v>
      </c>
      <c r="G23">
        <v>44087</v>
      </c>
      <c r="H23" s="4">
        <v>75.253900000000002</v>
      </c>
      <c r="I23">
        <v>71.5</v>
      </c>
      <c r="J23" s="14">
        <v>86.152109999999993</v>
      </c>
      <c r="K23" s="14"/>
      <c r="L23">
        <v>1</v>
      </c>
      <c r="M23" t="s">
        <v>198</v>
      </c>
      <c r="N23">
        <v>808</v>
      </c>
      <c r="O23" t="s">
        <v>240</v>
      </c>
      <c r="P23">
        <v>2010</v>
      </c>
      <c r="Q23">
        <v>57703</v>
      </c>
      <c r="R23" s="4">
        <v>102.33629999999999</v>
      </c>
      <c r="S23">
        <v>76</v>
      </c>
      <c r="T23" s="14">
        <v>100.2989</v>
      </c>
      <c r="U23" s="4"/>
    </row>
    <row r="24" spans="1:21" x14ac:dyDescent="0.3">
      <c r="L24">
        <v>1</v>
      </c>
      <c r="M24" t="s">
        <v>186</v>
      </c>
      <c r="N24">
        <v>510</v>
      </c>
      <c r="O24" t="s">
        <v>261</v>
      </c>
      <c r="P24">
        <v>2010</v>
      </c>
      <c r="Q24">
        <v>63339</v>
      </c>
      <c r="R24" s="4">
        <v>104.67619999999999</v>
      </c>
      <c r="S24">
        <v>67.7</v>
      </c>
      <c r="T24" s="14">
        <v>122.3207</v>
      </c>
      <c r="U24" s="4"/>
    </row>
    <row r="25" spans="1:21" x14ac:dyDescent="0.3">
      <c r="G25" s="58">
        <f>SUM(G2:G23)/22</f>
        <v>44059.13636363636</v>
      </c>
      <c r="H25" s="60">
        <f>SUM(H2:H23)/22</f>
        <v>73.427147272727268</v>
      </c>
      <c r="I25" s="61">
        <f>SUM(I2:I23)/22</f>
        <v>72.295454545454547</v>
      </c>
      <c r="J25" s="62">
        <f>SUM(J2:J23)/22</f>
        <v>91.528876363636385</v>
      </c>
      <c r="L25">
        <v>1</v>
      </c>
      <c r="M25" t="s">
        <v>189</v>
      </c>
      <c r="N25">
        <v>703</v>
      </c>
      <c r="O25" t="s">
        <v>191</v>
      </c>
      <c r="P25">
        <v>2010</v>
      </c>
      <c r="Q25">
        <v>62056</v>
      </c>
      <c r="R25" s="4">
        <v>103.24460000000001</v>
      </c>
      <c r="S25">
        <v>72.400000000000006</v>
      </c>
      <c r="T25" s="14">
        <v>102.9346</v>
      </c>
      <c r="U25" s="4"/>
    </row>
    <row r="26" spans="1:21" x14ac:dyDescent="0.3">
      <c r="L26">
        <v>1</v>
      </c>
      <c r="M26" t="s">
        <v>192</v>
      </c>
      <c r="N26">
        <v>312</v>
      </c>
      <c r="O26" t="s">
        <v>214</v>
      </c>
      <c r="P26">
        <v>2010</v>
      </c>
      <c r="Q26">
        <v>49944</v>
      </c>
      <c r="R26" s="4">
        <v>87.778689999999997</v>
      </c>
      <c r="S26">
        <v>67.5</v>
      </c>
      <c r="T26" s="14">
        <v>87.166300000000007</v>
      </c>
      <c r="U26" s="4"/>
    </row>
    <row r="27" spans="1:21" x14ac:dyDescent="0.3">
      <c r="L27">
        <v>1</v>
      </c>
      <c r="M27" t="s">
        <v>183</v>
      </c>
      <c r="N27">
        <v>912</v>
      </c>
      <c r="O27" t="s">
        <v>256</v>
      </c>
      <c r="P27">
        <v>2010</v>
      </c>
      <c r="Q27">
        <v>51211</v>
      </c>
      <c r="R27" s="4">
        <v>90.289090000000002</v>
      </c>
      <c r="S27">
        <v>76.5</v>
      </c>
      <c r="T27" s="14">
        <v>93.969470000000001</v>
      </c>
      <c r="U27" s="4"/>
    </row>
    <row r="28" spans="1:21" x14ac:dyDescent="0.3">
      <c r="L28">
        <v>1</v>
      </c>
      <c r="M28" t="s">
        <v>183</v>
      </c>
      <c r="N28">
        <v>905</v>
      </c>
      <c r="O28" t="s">
        <v>202</v>
      </c>
      <c r="P28">
        <v>2010</v>
      </c>
      <c r="Q28">
        <v>48652</v>
      </c>
      <c r="R28" s="4">
        <v>89.359610000000004</v>
      </c>
      <c r="S28">
        <v>72.599999999999994</v>
      </c>
      <c r="T28" s="14">
        <v>90.066410000000005</v>
      </c>
      <c r="U28" s="4"/>
    </row>
    <row r="29" spans="1:21" x14ac:dyDescent="0.3">
      <c r="L29">
        <v>1</v>
      </c>
      <c r="M29" t="s">
        <v>194</v>
      </c>
      <c r="N29">
        <v>604</v>
      </c>
      <c r="O29" t="s">
        <v>206</v>
      </c>
      <c r="P29">
        <v>2010</v>
      </c>
      <c r="Q29">
        <v>72988</v>
      </c>
      <c r="R29" s="4">
        <v>109.2777</v>
      </c>
      <c r="S29">
        <v>71</v>
      </c>
      <c r="T29" s="14">
        <v>135.95500000000001</v>
      </c>
      <c r="U29" s="4"/>
    </row>
    <row r="30" spans="1:21" x14ac:dyDescent="0.3">
      <c r="L30">
        <v>1</v>
      </c>
      <c r="M30" t="s">
        <v>183</v>
      </c>
      <c r="N30">
        <v>917</v>
      </c>
      <c r="O30" t="s">
        <v>231</v>
      </c>
      <c r="P30">
        <v>2010</v>
      </c>
      <c r="Q30">
        <v>48791</v>
      </c>
      <c r="R30" s="4">
        <v>90.757300000000001</v>
      </c>
      <c r="S30">
        <v>77.5</v>
      </c>
      <c r="T30" s="14">
        <v>87.691460000000006</v>
      </c>
      <c r="U30" s="4"/>
    </row>
    <row r="31" spans="1:21" x14ac:dyDescent="0.3">
      <c r="L31">
        <v>1</v>
      </c>
      <c r="M31" t="s">
        <v>183</v>
      </c>
      <c r="N31">
        <v>916</v>
      </c>
      <c r="O31" t="s">
        <v>248</v>
      </c>
      <c r="P31">
        <v>2010</v>
      </c>
      <c r="Q31">
        <v>54513</v>
      </c>
      <c r="R31" s="4">
        <v>96.787779999999998</v>
      </c>
      <c r="S31">
        <v>72.7</v>
      </c>
      <c r="T31" s="14">
        <v>109.6241</v>
      </c>
      <c r="U31" s="4"/>
    </row>
    <row r="32" spans="1:21" x14ac:dyDescent="0.3">
      <c r="L32">
        <v>1</v>
      </c>
      <c r="M32" t="s">
        <v>183</v>
      </c>
      <c r="N32">
        <v>901</v>
      </c>
      <c r="O32" t="s">
        <v>260</v>
      </c>
      <c r="P32">
        <v>2010</v>
      </c>
      <c r="Q32">
        <v>50400</v>
      </c>
      <c r="R32" s="4">
        <v>96.191019999999995</v>
      </c>
      <c r="S32">
        <v>75.3</v>
      </c>
      <c r="T32" s="14">
        <v>102.57380000000001</v>
      </c>
      <c r="U32" s="4"/>
    </row>
    <row r="33" spans="12:21" x14ac:dyDescent="0.3">
      <c r="L33">
        <v>1</v>
      </c>
      <c r="M33" t="s">
        <v>198</v>
      </c>
      <c r="N33">
        <v>805</v>
      </c>
      <c r="O33" t="s">
        <v>232</v>
      </c>
      <c r="P33">
        <v>2010</v>
      </c>
      <c r="Q33">
        <v>63312</v>
      </c>
      <c r="R33" s="4">
        <v>102.85420000000001</v>
      </c>
      <c r="S33">
        <v>74.5</v>
      </c>
      <c r="T33" s="14">
        <v>115.40900000000001</v>
      </c>
      <c r="U33" s="4"/>
    </row>
    <row r="34" spans="12:21" x14ac:dyDescent="0.3">
      <c r="L34">
        <v>1</v>
      </c>
      <c r="M34" t="s">
        <v>186</v>
      </c>
      <c r="N34">
        <v>511</v>
      </c>
      <c r="O34" t="s">
        <v>221</v>
      </c>
      <c r="P34">
        <v>2010</v>
      </c>
      <c r="Q34">
        <v>53346</v>
      </c>
      <c r="R34" s="4">
        <v>96.133459999999999</v>
      </c>
      <c r="S34">
        <v>72</v>
      </c>
      <c r="T34" s="14">
        <v>102.2454</v>
      </c>
      <c r="U34" s="4"/>
    </row>
    <row r="35" spans="12:21" x14ac:dyDescent="0.3">
      <c r="L35">
        <v>1</v>
      </c>
      <c r="M35" t="s">
        <v>186</v>
      </c>
      <c r="N35">
        <v>502</v>
      </c>
      <c r="O35" t="s">
        <v>229</v>
      </c>
      <c r="P35">
        <v>2010</v>
      </c>
      <c r="Q35">
        <v>51761</v>
      </c>
      <c r="R35" s="4">
        <v>95.690709999999996</v>
      </c>
      <c r="S35">
        <v>73.099999999999994</v>
      </c>
      <c r="T35" s="14">
        <v>86.577160000000006</v>
      </c>
      <c r="U35" s="4"/>
    </row>
    <row r="36" spans="12:21" x14ac:dyDescent="0.3">
      <c r="L36">
        <v>1</v>
      </c>
      <c r="M36" t="s">
        <v>189</v>
      </c>
      <c r="N36">
        <v>704</v>
      </c>
      <c r="O36" t="s">
        <v>190</v>
      </c>
      <c r="P36">
        <v>2010</v>
      </c>
      <c r="Q36">
        <v>44957</v>
      </c>
      <c r="R36" s="4">
        <v>92.27928</v>
      </c>
      <c r="S36">
        <v>65.3</v>
      </c>
      <c r="T36" s="14">
        <v>104.1915</v>
      </c>
      <c r="U36" s="4"/>
    </row>
    <row r="37" spans="12:21" x14ac:dyDescent="0.3">
      <c r="L37">
        <v>1</v>
      </c>
      <c r="M37" t="s">
        <v>192</v>
      </c>
      <c r="N37">
        <v>311</v>
      </c>
      <c r="O37" t="s">
        <v>213</v>
      </c>
      <c r="P37">
        <v>2010</v>
      </c>
      <c r="Q37">
        <v>49061</v>
      </c>
      <c r="R37" s="4">
        <v>92.282039999999995</v>
      </c>
      <c r="S37">
        <v>75.2</v>
      </c>
      <c r="T37" s="14">
        <v>91.959850000000003</v>
      </c>
      <c r="U37" s="4"/>
    </row>
    <row r="38" spans="12:21" x14ac:dyDescent="0.3">
      <c r="L38">
        <v>1</v>
      </c>
      <c r="M38" t="s">
        <v>207</v>
      </c>
      <c r="N38">
        <v>401</v>
      </c>
      <c r="O38" t="s">
        <v>207</v>
      </c>
      <c r="P38">
        <v>2010</v>
      </c>
      <c r="Q38">
        <v>61425</v>
      </c>
      <c r="R38" s="4">
        <v>100.3927</v>
      </c>
      <c r="S38">
        <v>66.599999999999994</v>
      </c>
      <c r="T38" s="14">
        <v>101.1426</v>
      </c>
      <c r="U38" s="4"/>
    </row>
    <row r="39" spans="12:21" x14ac:dyDescent="0.3">
      <c r="L39">
        <v>1</v>
      </c>
      <c r="M39" t="s">
        <v>183</v>
      </c>
      <c r="N39">
        <v>904</v>
      </c>
      <c r="O39" t="s">
        <v>184</v>
      </c>
      <c r="P39">
        <v>2010</v>
      </c>
      <c r="Q39">
        <v>55168</v>
      </c>
      <c r="R39" s="4">
        <v>99.623400000000004</v>
      </c>
      <c r="S39">
        <v>78.7</v>
      </c>
      <c r="T39" s="14">
        <v>102.8058</v>
      </c>
      <c r="U39" s="4"/>
    </row>
    <row r="40" spans="12:21" x14ac:dyDescent="0.3">
      <c r="L40">
        <v>1</v>
      </c>
      <c r="M40" t="s">
        <v>183</v>
      </c>
      <c r="N40">
        <v>910</v>
      </c>
      <c r="O40" t="s">
        <v>185</v>
      </c>
      <c r="P40">
        <v>2010</v>
      </c>
      <c r="Q40">
        <v>75897</v>
      </c>
      <c r="R40" s="4">
        <v>110.60720000000001</v>
      </c>
      <c r="S40">
        <v>73.900000000000006</v>
      </c>
      <c r="T40" s="14">
        <v>166.98249999999999</v>
      </c>
      <c r="U40" s="4"/>
    </row>
    <row r="41" spans="12:21" x14ac:dyDescent="0.3">
      <c r="L41">
        <v>1</v>
      </c>
      <c r="M41" t="s">
        <v>218</v>
      </c>
      <c r="N41">
        <v>104</v>
      </c>
      <c r="O41" t="s">
        <v>238</v>
      </c>
      <c r="P41">
        <v>2010</v>
      </c>
      <c r="Q41">
        <v>53068</v>
      </c>
      <c r="R41" s="4">
        <v>95.0518</v>
      </c>
      <c r="S41">
        <v>76</v>
      </c>
      <c r="T41" s="14">
        <v>115.2551</v>
      </c>
      <c r="U41" s="4"/>
    </row>
    <row r="42" spans="12:21" x14ac:dyDescent="0.3">
      <c r="L42">
        <v>1</v>
      </c>
      <c r="M42" t="s">
        <v>194</v>
      </c>
      <c r="N42">
        <v>601</v>
      </c>
      <c r="O42" t="s">
        <v>204</v>
      </c>
      <c r="P42">
        <v>2010</v>
      </c>
      <c r="Q42">
        <v>52393</v>
      </c>
      <c r="R42" s="4">
        <v>94.127179999999996</v>
      </c>
      <c r="S42">
        <v>70.8</v>
      </c>
      <c r="T42" s="14">
        <v>99.878810000000001</v>
      </c>
      <c r="U42" s="4"/>
    </row>
    <row r="43" spans="12:21" x14ac:dyDescent="0.3">
      <c r="L43">
        <v>1</v>
      </c>
      <c r="M43" t="s">
        <v>183</v>
      </c>
      <c r="N43">
        <v>918</v>
      </c>
      <c r="O43" t="s">
        <v>246</v>
      </c>
      <c r="P43">
        <v>2010</v>
      </c>
      <c r="Q43">
        <v>52071</v>
      </c>
      <c r="R43" s="4">
        <v>96.562870000000004</v>
      </c>
      <c r="S43">
        <v>73.7</v>
      </c>
      <c r="T43" s="14">
        <v>103.5611</v>
      </c>
      <c r="U43" s="4"/>
    </row>
    <row r="44" spans="12:21" x14ac:dyDescent="0.3">
      <c r="L44">
        <v>1</v>
      </c>
      <c r="M44" t="s">
        <v>218</v>
      </c>
      <c r="N44">
        <v>101</v>
      </c>
      <c r="O44" t="s">
        <v>227</v>
      </c>
      <c r="P44">
        <v>2010</v>
      </c>
      <c r="Q44">
        <v>50785</v>
      </c>
      <c r="R44" s="4">
        <v>94.658619999999999</v>
      </c>
      <c r="S44">
        <v>68.400000000000006</v>
      </c>
      <c r="T44" s="14">
        <v>97.254099999999994</v>
      </c>
      <c r="U44" s="4"/>
    </row>
    <row r="45" spans="12:21" x14ac:dyDescent="0.3">
      <c r="L45">
        <v>1</v>
      </c>
      <c r="M45" t="s">
        <v>189</v>
      </c>
      <c r="N45">
        <v>705</v>
      </c>
      <c r="O45" t="s">
        <v>249</v>
      </c>
      <c r="P45">
        <v>2010</v>
      </c>
      <c r="Q45">
        <v>48175</v>
      </c>
      <c r="R45" s="4">
        <v>94.011349999999993</v>
      </c>
      <c r="S45">
        <v>70.599999999999994</v>
      </c>
      <c r="T45" s="14">
        <v>87.89528</v>
      </c>
      <c r="U45" s="4"/>
    </row>
    <row r="46" spans="12:21" x14ac:dyDescent="0.3">
      <c r="L46">
        <v>1</v>
      </c>
      <c r="M46" t="s">
        <v>198</v>
      </c>
      <c r="N46">
        <v>802</v>
      </c>
      <c r="O46" t="s">
        <v>258</v>
      </c>
      <c r="P46">
        <v>2010</v>
      </c>
      <c r="Q46">
        <v>60933</v>
      </c>
      <c r="R46" s="4">
        <v>103.42919999999999</v>
      </c>
      <c r="S46">
        <v>77.8</v>
      </c>
      <c r="T46" s="14">
        <v>114.4876</v>
      </c>
      <c r="U46" s="4"/>
    </row>
    <row r="47" spans="12:21" x14ac:dyDescent="0.3">
      <c r="L47">
        <v>1</v>
      </c>
      <c r="M47" t="s">
        <v>192</v>
      </c>
      <c r="N47">
        <v>304</v>
      </c>
      <c r="O47" t="s">
        <v>197</v>
      </c>
      <c r="P47">
        <v>2010</v>
      </c>
      <c r="Q47">
        <v>52786</v>
      </c>
      <c r="R47" s="4">
        <v>91.096729999999994</v>
      </c>
      <c r="S47">
        <v>72.400000000000006</v>
      </c>
      <c r="T47" s="14">
        <v>88.368350000000007</v>
      </c>
      <c r="U47" s="4"/>
    </row>
    <row r="48" spans="12:21" x14ac:dyDescent="0.3">
      <c r="L48">
        <v>1</v>
      </c>
      <c r="M48" t="s">
        <v>198</v>
      </c>
      <c r="N48">
        <v>811</v>
      </c>
      <c r="O48" t="s">
        <v>199</v>
      </c>
      <c r="P48">
        <v>2010</v>
      </c>
      <c r="Q48">
        <v>52508</v>
      </c>
      <c r="R48" s="4">
        <v>95.451490000000007</v>
      </c>
      <c r="S48">
        <v>73.8</v>
      </c>
      <c r="T48" s="14">
        <v>117.184</v>
      </c>
      <c r="U48" s="4"/>
    </row>
    <row r="49" spans="12:21" x14ac:dyDescent="0.3">
      <c r="L49">
        <v>1</v>
      </c>
      <c r="M49" t="s">
        <v>189</v>
      </c>
      <c r="N49">
        <v>702</v>
      </c>
      <c r="O49" t="s">
        <v>224</v>
      </c>
      <c r="P49">
        <v>2010</v>
      </c>
      <c r="Q49">
        <v>57021</v>
      </c>
      <c r="R49" s="4">
        <v>98.859340000000003</v>
      </c>
      <c r="S49">
        <v>71.900000000000006</v>
      </c>
      <c r="T49" s="14">
        <v>114.27370000000001</v>
      </c>
      <c r="U49" s="4"/>
    </row>
    <row r="50" spans="12:21" x14ac:dyDescent="0.3">
      <c r="L50">
        <v>1</v>
      </c>
      <c r="M50" t="s">
        <v>192</v>
      </c>
      <c r="N50">
        <v>306</v>
      </c>
      <c r="O50" t="s">
        <v>253</v>
      </c>
      <c r="P50">
        <v>2010</v>
      </c>
      <c r="Q50">
        <v>50295</v>
      </c>
      <c r="R50" s="4">
        <v>93.143140000000002</v>
      </c>
      <c r="S50">
        <v>73.900000000000006</v>
      </c>
      <c r="T50" s="14">
        <v>106.3969</v>
      </c>
      <c r="U50" s="4"/>
    </row>
    <row r="51" spans="12:21" x14ac:dyDescent="0.3">
      <c r="L51">
        <v>1</v>
      </c>
      <c r="M51" t="s">
        <v>194</v>
      </c>
      <c r="N51">
        <v>602</v>
      </c>
      <c r="O51" t="s">
        <v>195</v>
      </c>
      <c r="P51">
        <v>2010</v>
      </c>
      <c r="Q51">
        <v>51452</v>
      </c>
      <c r="R51" s="4">
        <v>92.304159999999996</v>
      </c>
      <c r="S51">
        <v>71</v>
      </c>
      <c r="T51" s="14">
        <v>86.108760000000004</v>
      </c>
      <c r="U51" s="4"/>
    </row>
    <row r="52" spans="12:21" x14ac:dyDescent="0.3">
      <c r="L52">
        <v>1</v>
      </c>
      <c r="M52" t="s">
        <v>208</v>
      </c>
      <c r="N52">
        <v>201</v>
      </c>
      <c r="O52" t="s">
        <v>208</v>
      </c>
      <c r="P52">
        <v>2010</v>
      </c>
      <c r="Q52">
        <v>75253</v>
      </c>
      <c r="R52" s="4">
        <v>105.5461</v>
      </c>
      <c r="S52">
        <v>73.3</v>
      </c>
      <c r="T52" s="14">
        <v>139.19980000000001</v>
      </c>
      <c r="U52" s="4"/>
    </row>
    <row r="53" spans="12:21" x14ac:dyDescent="0.3">
      <c r="L53">
        <v>1</v>
      </c>
      <c r="M53" t="s">
        <v>183</v>
      </c>
      <c r="N53">
        <v>911</v>
      </c>
      <c r="O53" t="s">
        <v>210</v>
      </c>
      <c r="P53">
        <v>2010</v>
      </c>
      <c r="Q53">
        <v>48703</v>
      </c>
      <c r="R53" s="4">
        <v>87.935749999999999</v>
      </c>
      <c r="S53">
        <v>72</v>
      </c>
      <c r="T53" s="14">
        <v>85.693860000000001</v>
      </c>
      <c r="U53" s="4"/>
    </row>
    <row r="54" spans="12:21" x14ac:dyDescent="0.3">
      <c r="L54">
        <v>1</v>
      </c>
      <c r="M54" t="s">
        <v>186</v>
      </c>
      <c r="N54">
        <v>512</v>
      </c>
      <c r="O54" t="s">
        <v>237</v>
      </c>
      <c r="P54">
        <v>2010</v>
      </c>
      <c r="Q54">
        <v>49282</v>
      </c>
      <c r="R54" s="4">
        <v>92.730670000000003</v>
      </c>
      <c r="S54">
        <v>69.900000000000006</v>
      </c>
      <c r="T54" s="14">
        <v>89.369950000000003</v>
      </c>
      <c r="U54" s="4"/>
    </row>
    <row r="55" spans="12:21" x14ac:dyDescent="0.3">
      <c r="L55">
        <v>1</v>
      </c>
      <c r="M55" t="s">
        <v>218</v>
      </c>
      <c r="N55">
        <v>102</v>
      </c>
      <c r="O55" t="s">
        <v>228</v>
      </c>
      <c r="P55">
        <v>2010</v>
      </c>
      <c r="Q55">
        <v>48964</v>
      </c>
      <c r="R55" s="4">
        <v>91.296009999999995</v>
      </c>
      <c r="S55">
        <v>68.400000000000006</v>
      </c>
      <c r="T55" s="14">
        <v>94.662390000000002</v>
      </c>
      <c r="U55" s="4"/>
    </row>
    <row r="56" spans="12:21" x14ac:dyDescent="0.3">
      <c r="L56">
        <v>1</v>
      </c>
      <c r="M56" t="s">
        <v>183</v>
      </c>
      <c r="N56">
        <v>908</v>
      </c>
      <c r="O56" t="s">
        <v>255</v>
      </c>
      <c r="P56">
        <v>2010</v>
      </c>
      <c r="Q56">
        <v>60887</v>
      </c>
      <c r="R56" s="4">
        <v>97.89958</v>
      </c>
      <c r="S56">
        <v>76.5</v>
      </c>
      <c r="T56" s="14">
        <v>101.8481</v>
      </c>
      <c r="U56" s="4"/>
    </row>
    <row r="57" spans="12:21" x14ac:dyDescent="0.3">
      <c r="L57">
        <v>1</v>
      </c>
      <c r="M57" t="s">
        <v>183</v>
      </c>
      <c r="N57">
        <v>902</v>
      </c>
      <c r="O57" t="s">
        <v>245</v>
      </c>
      <c r="P57">
        <v>2010</v>
      </c>
      <c r="Q57">
        <v>54607</v>
      </c>
      <c r="R57" s="4">
        <v>98.665859999999995</v>
      </c>
      <c r="S57">
        <v>75.099999999999994</v>
      </c>
      <c r="T57" s="14">
        <v>107.94329999999999</v>
      </c>
      <c r="U57" s="4"/>
    </row>
    <row r="58" spans="12:21" x14ac:dyDescent="0.3">
      <c r="L58">
        <v>1</v>
      </c>
      <c r="M58" t="s">
        <v>183</v>
      </c>
      <c r="N58">
        <v>915</v>
      </c>
      <c r="O58" t="s">
        <v>222</v>
      </c>
      <c r="P58">
        <v>2010</v>
      </c>
      <c r="Q58">
        <v>57670</v>
      </c>
      <c r="R58" s="4">
        <v>98.164249999999996</v>
      </c>
      <c r="S58">
        <v>75.400000000000006</v>
      </c>
      <c r="T58" s="14">
        <v>115.4729</v>
      </c>
      <c r="U58" s="4"/>
    </row>
    <row r="59" spans="12:21" x14ac:dyDescent="0.3">
      <c r="L59">
        <v>1</v>
      </c>
      <c r="M59" t="s">
        <v>186</v>
      </c>
      <c r="N59">
        <v>508</v>
      </c>
      <c r="O59" t="s">
        <v>212</v>
      </c>
      <c r="P59">
        <v>2010</v>
      </c>
      <c r="Q59">
        <v>64805</v>
      </c>
      <c r="R59" s="4">
        <v>105.6172</v>
      </c>
      <c r="S59">
        <v>68.2</v>
      </c>
      <c r="T59" s="14">
        <v>108.8454</v>
      </c>
      <c r="U59" s="4"/>
    </row>
    <row r="60" spans="12:21" x14ac:dyDescent="0.3">
      <c r="L60">
        <v>1</v>
      </c>
      <c r="M60" t="s">
        <v>192</v>
      </c>
      <c r="N60">
        <v>313</v>
      </c>
      <c r="O60" t="s">
        <v>235</v>
      </c>
      <c r="P60">
        <v>2010</v>
      </c>
      <c r="Q60">
        <v>49004</v>
      </c>
      <c r="R60" s="4">
        <v>93.494739999999993</v>
      </c>
      <c r="S60">
        <v>70.3</v>
      </c>
      <c r="T60" s="14">
        <v>90.013319999999993</v>
      </c>
      <c r="U60" s="4"/>
    </row>
    <row r="61" spans="12:21" x14ac:dyDescent="0.3">
      <c r="L61">
        <v>1</v>
      </c>
      <c r="M61" t="s">
        <v>183</v>
      </c>
      <c r="N61">
        <v>913</v>
      </c>
      <c r="O61" t="s">
        <v>223</v>
      </c>
      <c r="P61">
        <v>2010</v>
      </c>
      <c r="Q61">
        <v>49880</v>
      </c>
      <c r="R61" s="4">
        <v>99.103229999999996</v>
      </c>
      <c r="S61">
        <v>74.400000000000006</v>
      </c>
      <c r="T61" s="14">
        <v>128.84639999999999</v>
      </c>
      <c r="U61" s="4"/>
    </row>
    <row r="62" spans="12:21" x14ac:dyDescent="0.3">
      <c r="L62">
        <v>1</v>
      </c>
      <c r="M62" t="s">
        <v>198</v>
      </c>
      <c r="N62">
        <v>804</v>
      </c>
      <c r="O62" t="s">
        <v>243</v>
      </c>
      <c r="P62">
        <v>2010</v>
      </c>
      <c r="Q62">
        <v>52899</v>
      </c>
      <c r="R62" s="4">
        <v>99.309520000000006</v>
      </c>
      <c r="S62" s="4">
        <v>66.3</v>
      </c>
      <c r="T62" s="14">
        <v>115.0408</v>
      </c>
      <c r="U62" s="4"/>
    </row>
    <row r="63" spans="12:21" x14ac:dyDescent="0.3">
      <c r="L63">
        <v>1</v>
      </c>
      <c r="M63" t="s">
        <v>192</v>
      </c>
      <c r="N63">
        <v>303</v>
      </c>
      <c r="O63" t="s">
        <v>225</v>
      </c>
      <c r="P63">
        <v>2010</v>
      </c>
      <c r="Q63">
        <v>60452</v>
      </c>
      <c r="R63" s="4">
        <v>95.270709999999994</v>
      </c>
      <c r="S63">
        <v>68.5</v>
      </c>
      <c r="T63" s="14">
        <v>85.291210000000007</v>
      </c>
      <c r="U63" s="4"/>
    </row>
    <row r="64" spans="12:21" x14ac:dyDescent="0.3">
      <c r="L64">
        <v>1</v>
      </c>
      <c r="M64" t="s">
        <v>198</v>
      </c>
      <c r="N64">
        <v>803</v>
      </c>
      <c r="O64" t="s">
        <v>263</v>
      </c>
      <c r="P64">
        <v>2010</v>
      </c>
      <c r="Q64">
        <v>58924</v>
      </c>
      <c r="R64" s="4">
        <v>101.5177</v>
      </c>
      <c r="S64">
        <v>77.900000000000006</v>
      </c>
      <c r="T64" s="14">
        <v>101.2735</v>
      </c>
      <c r="U64" s="4"/>
    </row>
    <row r="65" spans="12:21" x14ac:dyDescent="0.3">
      <c r="L65">
        <v>1</v>
      </c>
      <c r="M65" t="s">
        <v>198</v>
      </c>
      <c r="N65">
        <v>809</v>
      </c>
      <c r="O65" t="s">
        <v>264</v>
      </c>
      <c r="P65">
        <v>2010</v>
      </c>
      <c r="Q65">
        <v>53831</v>
      </c>
      <c r="R65" s="4">
        <v>99.267910000000001</v>
      </c>
      <c r="S65">
        <v>79.5</v>
      </c>
      <c r="T65" s="14">
        <v>96.359129999999993</v>
      </c>
      <c r="U65" s="4"/>
    </row>
    <row r="66" spans="12:21" x14ac:dyDescent="0.3">
      <c r="L66">
        <v>1</v>
      </c>
      <c r="M66" t="s">
        <v>186</v>
      </c>
      <c r="N66">
        <v>506</v>
      </c>
      <c r="O66" t="s">
        <v>233</v>
      </c>
      <c r="P66">
        <v>2010</v>
      </c>
      <c r="Q66">
        <v>53317</v>
      </c>
      <c r="R66" s="4">
        <v>97.554280000000006</v>
      </c>
      <c r="S66">
        <v>64</v>
      </c>
      <c r="T66" s="14">
        <v>90.657250000000005</v>
      </c>
      <c r="U66" s="4"/>
    </row>
    <row r="67" spans="12:21" x14ac:dyDescent="0.3">
      <c r="L67">
        <v>1</v>
      </c>
      <c r="M67" t="s">
        <v>198</v>
      </c>
      <c r="N67">
        <v>812</v>
      </c>
      <c r="O67" t="s">
        <v>236</v>
      </c>
      <c r="P67">
        <v>2010</v>
      </c>
      <c r="Q67">
        <v>61689</v>
      </c>
      <c r="R67" s="4">
        <v>104.6563</v>
      </c>
      <c r="S67">
        <v>70.5</v>
      </c>
      <c r="T67" s="14">
        <v>117.0761</v>
      </c>
      <c r="U67" s="4"/>
    </row>
    <row r="68" spans="12:21" x14ac:dyDescent="0.3">
      <c r="L68">
        <v>1</v>
      </c>
      <c r="M68" t="s">
        <v>186</v>
      </c>
      <c r="N68">
        <v>507</v>
      </c>
      <c r="O68" t="s">
        <v>201</v>
      </c>
      <c r="P68">
        <v>2010</v>
      </c>
      <c r="Q68">
        <v>57976</v>
      </c>
      <c r="R68" s="4">
        <v>101.9457</v>
      </c>
      <c r="S68">
        <v>65.2</v>
      </c>
      <c r="T68" s="14">
        <v>94.277900000000002</v>
      </c>
      <c r="U68" s="4"/>
    </row>
    <row r="69" spans="12:21" x14ac:dyDescent="0.3">
      <c r="L69">
        <v>1</v>
      </c>
      <c r="M69" t="s">
        <v>194</v>
      </c>
      <c r="N69">
        <v>605</v>
      </c>
      <c r="O69" t="s">
        <v>250</v>
      </c>
      <c r="P69">
        <v>2010</v>
      </c>
      <c r="Q69">
        <v>63245</v>
      </c>
      <c r="R69" s="4">
        <v>102.05840000000001</v>
      </c>
      <c r="S69">
        <v>73.099999999999994</v>
      </c>
      <c r="T69" s="14">
        <v>120.9483</v>
      </c>
      <c r="U69" s="4"/>
    </row>
    <row r="70" spans="12:21" x14ac:dyDescent="0.3">
      <c r="L70">
        <v>1</v>
      </c>
      <c r="M70" t="s">
        <v>192</v>
      </c>
      <c r="N70">
        <v>310</v>
      </c>
      <c r="O70" t="s">
        <v>251</v>
      </c>
      <c r="P70">
        <v>2010</v>
      </c>
      <c r="Q70">
        <v>49515</v>
      </c>
      <c r="R70" s="4">
        <v>89.34384</v>
      </c>
      <c r="S70">
        <v>71.099999999999994</v>
      </c>
      <c r="T70" s="14">
        <v>99.280079999999998</v>
      </c>
      <c r="U70" s="4"/>
    </row>
    <row r="71" spans="12:21" x14ac:dyDescent="0.3">
      <c r="L71">
        <v>1</v>
      </c>
      <c r="M71" t="s">
        <v>189</v>
      </c>
      <c r="N71">
        <v>701</v>
      </c>
      <c r="O71" t="s">
        <v>234</v>
      </c>
      <c r="P71">
        <v>2010</v>
      </c>
      <c r="Q71">
        <v>52161</v>
      </c>
      <c r="R71" s="4">
        <v>93.264660000000006</v>
      </c>
      <c r="S71">
        <v>72.5</v>
      </c>
      <c r="T71" s="14">
        <v>90.539599999999993</v>
      </c>
      <c r="U71" s="4"/>
    </row>
    <row r="72" spans="12:21" x14ac:dyDescent="0.3">
      <c r="L72">
        <v>1</v>
      </c>
      <c r="M72" t="s">
        <v>218</v>
      </c>
      <c r="N72">
        <v>105</v>
      </c>
      <c r="O72" t="s">
        <v>219</v>
      </c>
      <c r="P72">
        <v>2010</v>
      </c>
      <c r="Q72">
        <v>58038</v>
      </c>
      <c r="R72" s="4">
        <v>92.952590000000001</v>
      </c>
      <c r="S72">
        <v>71.2</v>
      </c>
      <c r="T72" s="14">
        <v>92.607619999999997</v>
      </c>
      <c r="U72" s="4"/>
    </row>
    <row r="73" spans="12:21" x14ac:dyDescent="0.3">
      <c r="L73">
        <v>1</v>
      </c>
      <c r="M73" t="s">
        <v>183</v>
      </c>
      <c r="N73">
        <v>914</v>
      </c>
      <c r="O73" t="s">
        <v>241</v>
      </c>
      <c r="P73">
        <v>2010</v>
      </c>
      <c r="Q73">
        <v>49288</v>
      </c>
      <c r="R73" s="4">
        <v>92.352609999999999</v>
      </c>
      <c r="S73">
        <v>74.900000000000006</v>
      </c>
      <c r="T73" s="14">
        <v>85.883949999999999</v>
      </c>
      <c r="U73" s="4"/>
    </row>
    <row r="74" spans="12:21" x14ac:dyDescent="0.3">
      <c r="L74">
        <v>1</v>
      </c>
      <c r="M74" t="s">
        <v>186</v>
      </c>
      <c r="N74">
        <v>505</v>
      </c>
      <c r="O74" t="s">
        <v>203</v>
      </c>
      <c r="P74">
        <v>2010</v>
      </c>
      <c r="Q74">
        <v>71770</v>
      </c>
      <c r="R74" s="4">
        <v>100.3073</v>
      </c>
      <c r="S74">
        <v>65.599999999999994</v>
      </c>
      <c r="T74" s="14">
        <v>115.2461</v>
      </c>
      <c r="U74" s="4"/>
    </row>
    <row r="75" spans="12:21" x14ac:dyDescent="0.3">
      <c r="L75">
        <v>1</v>
      </c>
      <c r="M75" t="s">
        <v>218</v>
      </c>
      <c r="N75">
        <v>103</v>
      </c>
      <c r="O75" t="s">
        <v>247</v>
      </c>
      <c r="P75">
        <v>2010</v>
      </c>
      <c r="Q75">
        <v>45482</v>
      </c>
      <c r="R75" s="4">
        <v>90.141139999999993</v>
      </c>
      <c r="S75">
        <v>68.599999999999994</v>
      </c>
      <c r="T75" s="14">
        <v>105.4181</v>
      </c>
      <c r="U75" s="4"/>
    </row>
    <row r="77" spans="12:21" x14ac:dyDescent="0.3">
      <c r="Q77" s="58">
        <f>SUM(Q2:Q75)/ 74</f>
        <v>55530.229729729726</v>
      </c>
      <c r="R77" s="60">
        <f>SUM(R2:R75)/74</f>
        <v>97.006253378378361</v>
      </c>
      <c r="S77" s="61">
        <f>SUM(S2:S75)/74</f>
        <v>71.985135135135152</v>
      </c>
      <c r="T77" s="62">
        <f>SUM(T2:T75)/74</f>
        <v>102.51844256756759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8C43-7B7D-4999-8C2C-96367B3F434A}">
  <dimension ref="A1:P65"/>
  <sheetViews>
    <sheetView topLeftCell="A42" workbookViewId="0">
      <selection activeCell="Q67" sqref="Q67"/>
    </sheetView>
  </sheetViews>
  <sheetFormatPr defaultRowHeight="14.4" x14ac:dyDescent="0.3"/>
  <cols>
    <col min="7" max="7" width="18.109375" customWidth="1"/>
    <col min="8" max="8" width="13.44140625" customWidth="1"/>
    <col min="10" max="10" width="15.88671875" customWidth="1"/>
    <col min="14" max="14" width="10.77734375" customWidth="1"/>
  </cols>
  <sheetData>
    <row r="1" spans="1:16" x14ac:dyDescent="0.3">
      <c r="A1" t="s">
        <v>149</v>
      </c>
      <c r="B1" t="s">
        <v>150</v>
      </c>
      <c r="C1" t="s">
        <v>106</v>
      </c>
      <c r="D1" t="s">
        <v>107</v>
      </c>
      <c r="E1" t="s">
        <v>104</v>
      </c>
      <c r="F1" t="s">
        <v>151</v>
      </c>
      <c r="G1" t="s">
        <v>152</v>
      </c>
      <c r="I1" t="s">
        <v>150</v>
      </c>
      <c r="J1" t="s">
        <v>106</v>
      </c>
      <c r="K1" t="s">
        <v>107</v>
      </c>
      <c r="L1" t="s">
        <v>104</v>
      </c>
      <c r="M1" t="s">
        <v>151</v>
      </c>
      <c r="N1" t="s">
        <v>152</v>
      </c>
      <c r="P1" s="20" t="s">
        <v>133</v>
      </c>
    </row>
    <row r="2" spans="1:16" x14ac:dyDescent="0.3">
      <c r="A2" t="s">
        <v>133</v>
      </c>
      <c r="B2">
        <v>0</v>
      </c>
      <c r="C2" t="s">
        <v>109</v>
      </c>
      <c r="D2">
        <v>88</v>
      </c>
      <c r="E2" t="s">
        <v>15</v>
      </c>
      <c r="F2">
        <v>2010</v>
      </c>
      <c r="G2" s="14">
        <v>80.200519999999997</v>
      </c>
      <c r="I2">
        <v>1</v>
      </c>
      <c r="J2" t="s">
        <v>117</v>
      </c>
      <c r="K2">
        <v>20</v>
      </c>
      <c r="L2" t="s">
        <v>68</v>
      </c>
      <c r="M2">
        <v>2010</v>
      </c>
      <c r="N2" s="14">
        <v>94.831540000000004</v>
      </c>
      <c r="P2" s="62">
        <f>((G44*41)+(N65*62))/103</f>
        <v>98.877515631067993</v>
      </c>
    </row>
    <row r="3" spans="1:16" x14ac:dyDescent="0.3">
      <c r="A3" t="s">
        <v>133</v>
      </c>
      <c r="B3">
        <v>0</v>
      </c>
      <c r="C3" t="s">
        <v>108</v>
      </c>
      <c r="D3">
        <v>92</v>
      </c>
      <c r="E3" t="s">
        <v>21</v>
      </c>
      <c r="F3">
        <v>2010</v>
      </c>
      <c r="G3" s="14">
        <v>93.71969</v>
      </c>
      <c r="I3">
        <v>1</v>
      </c>
      <c r="J3" t="s">
        <v>118</v>
      </c>
      <c r="K3">
        <v>47</v>
      </c>
      <c r="L3" t="s">
        <v>49</v>
      </c>
      <c r="M3">
        <v>2010</v>
      </c>
      <c r="N3" s="14">
        <v>115.6048</v>
      </c>
    </row>
    <row r="4" spans="1:16" x14ac:dyDescent="0.3">
      <c r="A4" t="s">
        <v>133</v>
      </c>
      <c r="B4">
        <v>0</v>
      </c>
      <c r="C4" t="s">
        <v>109</v>
      </c>
      <c r="D4">
        <v>81</v>
      </c>
      <c r="E4" t="s">
        <v>8</v>
      </c>
      <c r="F4">
        <v>2010</v>
      </c>
      <c r="G4" s="14">
        <v>81.728129999999993</v>
      </c>
      <c r="I4">
        <v>1</v>
      </c>
      <c r="J4" t="s">
        <v>265</v>
      </c>
      <c r="K4">
        <v>22</v>
      </c>
      <c r="L4" t="s">
        <v>94</v>
      </c>
      <c r="M4">
        <v>2010</v>
      </c>
      <c r="N4" s="14">
        <v>117.8811</v>
      </c>
    </row>
    <row r="5" spans="1:16" x14ac:dyDescent="0.3">
      <c r="A5" t="s">
        <v>133</v>
      </c>
      <c r="B5">
        <v>0</v>
      </c>
      <c r="C5" t="s">
        <v>115</v>
      </c>
      <c r="D5">
        <v>73</v>
      </c>
      <c r="E5" t="s">
        <v>19</v>
      </c>
      <c r="F5">
        <v>2010</v>
      </c>
      <c r="G5" s="14">
        <v>82.835819999999998</v>
      </c>
      <c r="I5">
        <v>1</v>
      </c>
      <c r="J5" t="s">
        <v>117</v>
      </c>
      <c r="K5">
        <v>18</v>
      </c>
      <c r="L5" t="s">
        <v>69</v>
      </c>
      <c r="M5">
        <v>2010</v>
      </c>
      <c r="N5" s="14">
        <v>88.379940000000005</v>
      </c>
    </row>
    <row r="6" spans="1:16" x14ac:dyDescent="0.3">
      <c r="A6" t="s">
        <v>133</v>
      </c>
      <c r="B6">
        <v>0</v>
      </c>
      <c r="C6" t="s">
        <v>112</v>
      </c>
      <c r="D6">
        <v>56</v>
      </c>
      <c r="E6" t="s">
        <v>38</v>
      </c>
      <c r="F6">
        <v>2010</v>
      </c>
      <c r="G6" s="14">
        <v>108.9584</v>
      </c>
      <c r="I6">
        <v>1</v>
      </c>
      <c r="J6" t="s">
        <v>119</v>
      </c>
      <c r="K6">
        <v>9</v>
      </c>
      <c r="L6" t="s">
        <v>88</v>
      </c>
      <c r="M6">
        <v>2010</v>
      </c>
      <c r="N6" s="14">
        <v>137.17339999999999</v>
      </c>
    </row>
    <row r="7" spans="1:16" x14ac:dyDescent="0.3">
      <c r="A7" t="s">
        <v>133</v>
      </c>
      <c r="B7">
        <v>0</v>
      </c>
      <c r="C7" t="s">
        <v>115</v>
      </c>
      <c r="D7">
        <v>74</v>
      </c>
      <c r="E7" t="s">
        <v>23</v>
      </c>
      <c r="F7">
        <v>2010</v>
      </c>
      <c r="G7" s="14">
        <v>89.685779999999994</v>
      </c>
      <c r="I7">
        <v>1</v>
      </c>
      <c r="J7" t="s">
        <v>123</v>
      </c>
      <c r="K7">
        <v>30</v>
      </c>
      <c r="L7" t="s">
        <v>65</v>
      </c>
      <c r="M7">
        <v>2010</v>
      </c>
      <c r="N7" s="14">
        <v>95.440820000000002</v>
      </c>
    </row>
    <row r="8" spans="1:16" x14ac:dyDescent="0.3">
      <c r="A8" t="s">
        <v>133</v>
      </c>
      <c r="B8">
        <v>0</v>
      </c>
      <c r="C8" t="s">
        <v>109</v>
      </c>
      <c r="D8">
        <v>84</v>
      </c>
      <c r="E8" t="s">
        <v>11</v>
      </c>
      <c r="F8">
        <v>2010</v>
      </c>
      <c r="G8" s="14">
        <v>89.504750000000001</v>
      </c>
      <c r="I8">
        <v>1</v>
      </c>
      <c r="J8" t="s">
        <v>265</v>
      </c>
      <c r="K8">
        <v>21</v>
      </c>
      <c r="L8" t="s">
        <v>98</v>
      </c>
      <c r="M8">
        <v>2010</v>
      </c>
      <c r="N8" s="14">
        <v>139.2064</v>
      </c>
    </row>
    <row r="9" spans="1:16" x14ac:dyDescent="0.3">
      <c r="A9" t="s">
        <v>133</v>
      </c>
      <c r="B9">
        <v>0</v>
      </c>
      <c r="C9" t="s">
        <v>109</v>
      </c>
      <c r="D9">
        <v>87</v>
      </c>
      <c r="E9" t="s">
        <v>25</v>
      </c>
      <c r="F9">
        <v>2010</v>
      </c>
      <c r="G9" s="14">
        <v>88.56541</v>
      </c>
      <c r="I9">
        <v>1</v>
      </c>
      <c r="J9" t="s">
        <v>125</v>
      </c>
      <c r="K9">
        <v>55</v>
      </c>
      <c r="L9" t="s">
        <v>46</v>
      </c>
      <c r="M9">
        <v>2010</v>
      </c>
      <c r="N9" s="14">
        <v>89.326639999999998</v>
      </c>
    </row>
    <row r="10" spans="1:16" x14ac:dyDescent="0.3">
      <c r="A10" t="s">
        <v>133</v>
      </c>
      <c r="B10">
        <v>0</v>
      </c>
      <c r="C10" t="s">
        <v>116</v>
      </c>
      <c r="D10">
        <v>69</v>
      </c>
      <c r="E10" t="s">
        <v>31</v>
      </c>
      <c r="F10">
        <v>2010</v>
      </c>
      <c r="G10" s="14">
        <v>93.690150000000003</v>
      </c>
      <c r="I10">
        <v>1</v>
      </c>
      <c r="J10" t="s">
        <v>123</v>
      </c>
      <c r="K10">
        <v>31</v>
      </c>
      <c r="L10" t="s">
        <v>79</v>
      </c>
      <c r="M10">
        <v>2010</v>
      </c>
      <c r="N10" s="14">
        <v>87.468260000000001</v>
      </c>
    </row>
    <row r="11" spans="1:16" x14ac:dyDescent="0.3">
      <c r="A11" t="s">
        <v>133</v>
      </c>
      <c r="B11">
        <v>0</v>
      </c>
      <c r="C11" t="s">
        <v>110</v>
      </c>
      <c r="D11">
        <v>61</v>
      </c>
      <c r="E11" t="s">
        <v>17</v>
      </c>
      <c r="F11">
        <v>2010</v>
      </c>
      <c r="G11" s="14">
        <v>92.892060000000001</v>
      </c>
      <c r="I11">
        <v>1</v>
      </c>
      <c r="J11" t="s">
        <v>119</v>
      </c>
      <c r="K11">
        <v>8</v>
      </c>
      <c r="L11" t="s">
        <v>64</v>
      </c>
      <c r="M11">
        <v>2010</v>
      </c>
      <c r="N11" s="14">
        <v>125.9538</v>
      </c>
    </row>
    <row r="12" spans="1:16" x14ac:dyDescent="0.3">
      <c r="A12" t="s">
        <v>133</v>
      </c>
      <c r="B12">
        <v>0</v>
      </c>
      <c r="C12" t="s">
        <v>116</v>
      </c>
      <c r="D12">
        <v>66</v>
      </c>
      <c r="E12" t="s">
        <v>36</v>
      </c>
      <c r="F12">
        <v>2010</v>
      </c>
      <c r="G12" s="14">
        <v>105.34950000000001</v>
      </c>
      <c r="I12">
        <v>1</v>
      </c>
      <c r="J12" t="s">
        <v>117</v>
      </c>
      <c r="K12">
        <v>15</v>
      </c>
      <c r="L12" t="s">
        <v>101</v>
      </c>
      <c r="M12">
        <v>2010</v>
      </c>
      <c r="N12" s="14">
        <v>12.84619</v>
      </c>
    </row>
    <row r="13" spans="1:16" x14ac:dyDescent="0.3">
      <c r="A13" t="s">
        <v>133</v>
      </c>
      <c r="B13">
        <v>0</v>
      </c>
      <c r="C13" t="s">
        <v>116</v>
      </c>
      <c r="D13">
        <v>68</v>
      </c>
      <c r="E13" t="s">
        <v>40</v>
      </c>
      <c r="F13">
        <v>2010</v>
      </c>
      <c r="G13" s="14">
        <v>86.328670000000002</v>
      </c>
      <c r="I13">
        <v>1</v>
      </c>
      <c r="J13" t="s">
        <v>123</v>
      </c>
      <c r="K13">
        <v>32</v>
      </c>
      <c r="L13" t="s">
        <v>87</v>
      </c>
      <c r="M13">
        <v>2010</v>
      </c>
      <c r="N13" s="14">
        <v>87.713319999999996</v>
      </c>
    </row>
    <row r="14" spans="1:16" x14ac:dyDescent="0.3">
      <c r="A14" t="s">
        <v>133</v>
      </c>
      <c r="B14">
        <v>0</v>
      </c>
      <c r="C14" t="s">
        <v>112</v>
      </c>
      <c r="D14">
        <v>59</v>
      </c>
      <c r="E14" t="s">
        <v>37</v>
      </c>
      <c r="F14">
        <v>2010</v>
      </c>
      <c r="G14" s="14">
        <v>101.9956</v>
      </c>
      <c r="I14">
        <v>1</v>
      </c>
      <c r="J14" t="s">
        <v>118</v>
      </c>
      <c r="K14">
        <v>51</v>
      </c>
      <c r="L14" t="s">
        <v>51</v>
      </c>
      <c r="M14">
        <v>2010</v>
      </c>
      <c r="N14" s="14">
        <v>99.095830000000007</v>
      </c>
    </row>
    <row r="15" spans="1:16" x14ac:dyDescent="0.3">
      <c r="A15" t="s">
        <v>133</v>
      </c>
      <c r="B15">
        <v>0</v>
      </c>
      <c r="C15" t="s">
        <v>114</v>
      </c>
      <c r="D15">
        <v>102</v>
      </c>
      <c r="E15" t="s">
        <v>2</v>
      </c>
      <c r="F15">
        <v>2010</v>
      </c>
      <c r="G15" s="14">
        <v>62.094459999999998</v>
      </c>
      <c r="I15">
        <v>1</v>
      </c>
      <c r="J15" t="s">
        <v>124</v>
      </c>
      <c r="K15">
        <v>39</v>
      </c>
      <c r="L15" t="s">
        <v>76</v>
      </c>
      <c r="M15">
        <v>2010</v>
      </c>
      <c r="N15" s="14">
        <v>101.54900000000001</v>
      </c>
    </row>
    <row r="16" spans="1:16" x14ac:dyDescent="0.3">
      <c r="A16" t="s">
        <v>133</v>
      </c>
      <c r="B16">
        <v>0</v>
      </c>
      <c r="C16" t="s">
        <v>112</v>
      </c>
      <c r="D16">
        <v>57</v>
      </c>
      <c r="E16" t="s">
        <v>20</v>
      </c>
      <c r="F16">
        <v>2010</v>
      </c>
      <c r="G16" s="14">
        <v>92.636120000000005</v>
      </c>
      <c r="I16">
        <v>1</v>
      </c>
      <c r="J16" t="s">
        <v>122</v>
      </c>
      <c r="K16">
        <v>29</v>
      </c>
      <c r="L16" t="s">
        <v>58</v>
      </c>
      <c r="M16">
        <v>2010</v>
      </c>
      <c r="N16" s="14">
        <v>84.638800000000003</v>
      </c>
    </row>
    <row r="17" spans="1:14" x14ac:dyDescent="0.3">
      <c r="A17" t="s">
        <v>133</v>
      </c>
      <c r="B17">
        <v>0</v>
      </c>
      <c r="C17" t="s">
        <v>109</v>
      </c>
      <c r="D17">
        <v>85</v>
      </c>
      <c r="E17" t="s">
        <v>27</v>
      </c>
      <c r="F17">
        <v>2010</v>
      </c>
      <c r="G17" s="14">
        <v>81.700389999999999</v>
      </c>
      <c r="I17">
        <v>1</v>
      </c>
      <c r="J17" t="s">
        <v>117</v>
      </c>
      <c r="K17">
        <v>98</v>
      </c>
      <c r="L17" t="s">
        <v>84</v>
      </c>
      <c r="M17">
        <v>2010</v>
      </c>
      <c r="N17" s="14">
        <v>102.2287</v>
      </c>
    </row>
    <row r="18" spans="1:14" x14ac:dyDescent="0.3">
      <c r="A18" t="s">
        <v>133</v>
      </c>
      <c r="B18">
        <v>0</v>
      </c>
      <c r="C18" t="s">
        <v>109</v>
      </c>
      <c r="D18">
        <v>86</v>
      </c>
      <c r="E18" t="s">
        <v>26</v>
      </c>
      <c r="F18">
        <v>2010</v>
      </c>
      <c r="G18" s="14">
        <v>87.319959999999995</v>
      </c>
      <c r="I18">
        <v>1</v>
      </c>
      <c r="J18" t="s">
        <v>118</v>
      </c>
      <c r="K18">
        <v>53</v>
      </c>
      <c r="L18" t="s">
        <v>44</v>
      </c>
      <c r="M18">
        <v>2010</v>
      </c>
      <c r="N18" s="14">
        <v>114.1337</v>
      </c>
    </row>
    <row r="19" spans="1:14" x14ac:dyDescent="0.3">
      <c r="A19" t="s">
        <v>133</v>
      </c>
      <c r="B19">
        <v>0</v>
      </c>
      <c r="C19" t="s">
        <v>110</v>
      </c>
      <c r="D19">
        <v>65</v>
      </c>
      <c r="E19" t="s">
        <v>5</v>
      </c>
      <c r="F19">
        <v>2010</v>
      </c>
      <c r="G19" s="14">
        <v>109.8242</v>
      </c>
      <c r="I19">
        <v>1</v>
      </c>
      <c r="J19" t="s">
        <v>119</v>
      </c>
      <c r="K19">
        <v>10</v>
      </c>
      <c r="L19" t="s">
        <v>99</v>
      </c>
      <c r="M19">
        <v>2010</v>
      </c>
      <c r="N19" s="14">
        <v>118.1418</v>
      </c>
    </row>
    <row r="20" spans="1:14" x14ac:dyDescent="0.3">
      <c r="A20" t="s">
        <v>133</v>
      </c>
      <c r="B20">
        <v>0</v>
      </c>
      <c r="C20" t="s">
        <v>115</v>
      </c>
      <c r="D20">
        <v>71</v>
      </c>
      <c r="E20" t="s">
        <v>14</v>
      </c>
      <c r="F20">
        <v>2010</v>
      </c>
      <c r="G20" s="14">
        <v>86.232709999999997</v>
      </c>
      <c r="I20">
        <v>1</v>
      </c>
      <c r="J20" t="s">
        <v>121</v>
      </c>
      <c r="K20">
        <v>4</v>
      </c>
      <c r="L20" t="s">
        <v>70</v>
      </c>
      <c r="M20">
        <v>2010</v>
      </c>
      <c r="N20" s="14">
        <v>108.5656</v>
      </c>
    </row>
    <row r="21" spans="1:14" x14ac:dyDescent="0.3">
      <c r="A21" t="s">
        <v>133</v>
      </c>
      <c r="B21">
        <v>0</v>
      </c>
      <c r="C21" t="s">
        <v>111</v>
      </c>
      <c r="D21">
        <v>77</v>
      </c>
      <c r="E21" t="s">
        <v>6</v>
      </c>
      <c r="F21">
        <v>2010</v>
      </c>
      <c r="G21" s="14">
        <v>88.040030000000002</v>
      </c>
      <c r="I21">
        <v>1</v>
      </c>
      <c r="J21" t="s">
        <v>121</v>
      </c>
      <c r="K21">
        <v>5</v>
      </c>
      <c r="L21" t="s">
        <v>56</v>
      </c>
      <c r="M21">
        <v>2010</v>
      </c>
      <c r="N21" s="14">
        <v>95.109099999999998</v>
      </c>
    </row>
    <row r="22" spans="1:14" x14ac:dyDescent="0.3">
      <c r="A22" t="s">
        <v>133</v>
      </c>
      <c r="B22">
        <v>0</v>
      </c>
      <c r="C22" t="s">
        <v>114</v>
      </c>
      <c r="D22">
        <v>101</v>
      </c>
      <c r="E22" t="s">
        <v>22</v>
      </c>
      <c r="F22">
        <v>2010</v>
      </c>
      <c r="G22" s="14">
        <v>69.078220000000002</v>
      </c>
      <c r="I22">
        <v>1</v>
      </c>
      <c r="J22" t="s">
        <v>124</v>
      </c>
      <c r="K22">
        <v>99</v>
      </c>
      <c r="L22" t="s">
        <v>54</v>
      </c>
      <c r="M22">
        <v>2010</v>
      </c>
      <c r="N22" s="14">
        <v>125.663</v>
      </c>
    </row>
    <row r="23" spans="1:14" x14ac:dyDescent="0.3">
      <c r="A23" t="s">
        <v>133</v>
      </c>
      <c r="B23">
        <v>0</v>
      </c>
      <c r="C23" t="s">
        <v>113</v>
      </c>
      <c r="D23">
        <v>94</v>
      </c>
      <c r="E23" t="s">
        <v>28</v>
      </c>
      <c r="F23">
        <v>2010</v>
      </c>
      <c r="G23" s="14">
        <v>95.401539999999997</v>
      </c>
      <c r="I23">
        <v>1</v>
      </c>
      <c r="J23" t="s">
        <v>122</v>
      </c>
      <c r="K23">
        <v>25</v>
      </c>
      <c r="L23" t="s">
        <v>77</v>
      </c>
      <c r="M23">
        <v>2010</v>
      </c>
      <c r="N23" s="14">
        <v>97.730900000000005</v>
      </c>
    </row>
    <row r="24" spans="1:14" x14ac:dyDescent="0.3">
      <c r="A24" t="s">
        <v>133</v>
      </c>
      <c r="B24">
        <v>0</v>
      </c>
      <c r="C24" t="s">
        <v>114</v>
      </c>
      <c r="D24">
        <v>79</v>
      </c>
      <c r="E24" t="s">
        <v>9</v>
      </c>
      <c r="F24">
        <v>2010</v>
      </c>
      <c r="G24" s="14">
        <v>82.453239999999994</v>
      </c>
      <c r="I24">
        <v>1</v>
      </c>
      <c r="J24" t="s">
        <v>121</v>
      </c>
      <c r="K24">
        <v>6</v>
      </c>
      <c r="L24" t="s">
        <v>75</v>
      </c>
      <c r="M24">
        <v>2010</v>
      </c>
      <c r="N24" s="14">
        <v>90.28425</v>
      </c>
    </row>
    <row r="25" spans="1:14" x14ac:dyDescent="0.3">
      <c r="A25" t="s">
        <v>133</v>
      </c>
      <c r="B25">
        <v>0</v>
      </c>
      <c r="C25" t="s">
        <v>110</v>
      </c>
      <c r="D25">
        <v>63</v>
      </c>
      <c r="E25" t="s">
        <v>30</v>
      </c>
      <c r="F25">
        <v>2010</v>
      </c>
      <c r="G25" s="14">
        <v>118.3539</v>
      </c>
      <c r="I25">
        <v>1</v>
      </c>
      <c r="J25" t="s">
        <v>118</v>
      </c>
      <c r="K25">
        <v>100</v>
      </c>
      <c r="L25" t="s">
        <v>52</v>
      </c>
      <c r="M25">
        <v>2010</v>
      </c>
      <c r="N25" s="14">
        <v>121.3013</v>
      </c>
    </row>
    <row r="26" spans="1:14" x14ac:dyDescent="0.3">
      <c r="A26" t="s">
        <v>133</v>
      </c>
      <c r="B26">
        <v>0</v>
      </c>
      <c r="C26" t="s">
        <v>110</v>
      </c>
      <c r="D26">
        <v>62</v>
      </c>
      <c r="E26" t="s">
        <v>1</v>
      </c>
      <c r="F26">
        <v>2010</v>
      </c>
      <c r="G26" s="14">
        <v>113.7593</v>
      </c>
      <c r="I26">
        <v>1</v>
      </c>
      <c r="J26" t="s">
        <v>121</v>
      </c>
      <c r="K26">
        <v>2</v>
      </c>
      <c r="L26" t="s">
        <v>59</v>
      </c>
      <c r="M26">
        <v>2010</v>
      </c>
      <c r="N26" s="14">
        <v>81.921970000000002</v>
      </c>
    </row>
    <row r="27" spans="1:14" x14ac:dyDescent="0.3">
      <c r="A27" t="s">
        <v>133</v>
      </c>
      <c r="B27">
        <v>0</v>
      </c>
      <c r="C27" t="s">
        <v>108</v>
      </c>
      <c r="D27">
        <v>95</v>
      </c>
      <c r="E27" t="s">
        <v>16</v>
      </c>
      <c r="F27">
        <v>2010</v>
      </c>
      <c r="G27" s="14">
        <v>88.47869</v>
      </c>
      <c r="I27">
        <v>1</v>
      </c>
      <c r="J27" t="s">
        <v>117</v>
      </c>
      <c r="K27">
        <v>97</v>
      </c>
      <c r="L27" t="s">
        <v>85</v>
      </c>
      <c r="M27">
        <v>2010</v>
      </c>
      <c r="N27" s="14">
        <v>111.25149999999999</v>
      </c>
    </row>
    <row r="28" spans="1:14" x14ac:dyDescent="0.3">
      <c r="A28" t="s">
        <v>133</v>
      </c>
      <c r="B28">
        <v>0</v>
      </c>
      <c r="C28" t="s">
        <v>109</v>
      </c>
      <c r="D28">
        <v>89</v>
      </c>
      <c r="E28" t="s">
        <v>39</v>
      </c>
      <c r="F28">
        <v>2010</v>
      </c>
      <c r="G28" s="14">
        <v>77.617230000000006</v>
      </c>
      <c r="I28">
        <v>1</v>
      </c>
      <c r="J28" t="s">
        <v>121</v>
      </c>
      <c r="K28">
        <v>103</v>
      </c>
      <c r="L28" t="s">
        <v>266</v>
      </c>
      <c r="M28">
        <v>2010</v>
      </c>
      <c r="N28" s="14">
        <v>100.0232</v>
      </c>
    </row>
    <row r="29" spans="1:14" x14ac:dyDescent="0.3">
      <c r="A29" t="s">
        <v>133</v>
      </c>
      <c r="B29">
        <v>0</v>
      </c>
      <c r="C29" t="s">
        <v>108</v>
      </c>
      <c r="D29">
        <v>90</v>
      </c>
      <c r="E29" t="s">
        <v>29</v>
      </c>
      <c r="F29">
        <v>2010</v>
      </c>
      <c r="G29" s="14">
        <v>108.49979999999999</v>
      </c>
      <c r="I29">
        <v>1</v>
      </c>
      <c r="J29" t="s">
        <v>118</v>
      </c>
      <c r="K29">
        <v>45</v>
      </c>
      <c r="L29" t="s">
        <v>48</v>
      </c>
      <c r="M29">
        <v>2010</v>
      </c>
      <c r="N29" s="14">
        <v>101.78530000000001</v>
      </c>
    </row>
    <row r="30" spans="1:14" x14ac:dyDescent="0.3">
      <c r="A30" t="s">
        <v>133</v>
      </c>
      <c r="B30">
        <v>0</v>
      </c>
      <c r="C30" t="s">
        <v>109</v>
      </c>
      <c r="D30">
        <v>82</v>
      </c>
      <c r="E30" t="s">
        <v>34</v>
      </c>
      <c r="F30">
        <v>2010</v>
      </c>
      <c r="G30" s="14">
        <v>93.328909999999993</v>
      </c>
      <c r="I30">
        <v>1</v>
      </c>
      <c r="J30" t="s">
        <v>122</v>
      </c>
      <c r="K30">
        <v>26</v>
      </c>
      <c r="L30" t="s">
        <v>73</v>
      </c>
      <c r="M30">
        <v>2010</v>
      </c>
      <c r="N30" s="14">
        <v>95.228070000000002</v>
      </c>
    </row>
    <row r="31" spans="1:14" x14ac:dyDescent="0.3">
      <c r="A31" t="s">
        <v>133</v>
      </c>
      <c r="B31">
        <v>0</v>
      </c>
      <c r="C31" t="s">
        <v>109</v>
      </c>
      <c r="D31">
        <v>83</v>
      </c>
      <c r="E31" t="s">
        <v>18</v>
      </c>
      <c r="F31">
        <v>2010</v>
      </c>
      <c r="G31" s="14">
        <v>92.678790000000006</v>
      </c>
      <c r="I31">
        <v>1</v>
      </c>
      <c r="J31" t="s">
        <v>120</v>
      </c>
      <c r="K31">
        <v>42</v>
      </c>
      <c r="L31" t="s">
        <v>57</v>
      </c>
      <c r="M31">
        <v>2010</v>
      </c>
      <c r="N31" s="14">
        <v>90.641369999999995</v>
      </c>
    </row>
    <row r="32" spans="1:14" x14ac:dyDescent="0.3">
      <c r="A32" t="s">
        <v>133</v>
      </c>
      <c r="B32">
        <v>0</v>
      </c>
      <c r="C32" t="s">
        <v>112</v>
      </c>
      <c r="D32">
        <v>60</v>
      </c>
      <c r="E32" t="s">
        <v>33</v>
      </c>
      <c r="F32">
        <v>2010</v>
      </c>
      <c r="G32" s="14">
        <v>103.3113</v>
      </c>
      <c r="I32">
        <v>1</v>
      </c>
      <c r="J32" t="s">
        <v>117</v>
      </c>
      <c r="K32">
        <v>14</v>
      </c>
      <c r="L32" t="s">
        <v>50</v>
      </c>
      <c r="M32">
        <v>2010</v>
      </c>
      <c r="N32" s="14">
        <v>126.94119999999999</v>
      </c>
    </row>
    <row r="33" spans="1:14" x14ac:dyDescent="0.3">
      <c r="A33" t="s">
        <v>133</v>
      </c>
      <c r="B33">
        <v>0</v>
      </c>
      <c r="C33" t="s">
        <v>114</v>
      </c>
      <c r="D33">
        <v>78</v>
      </c>
      <c r="E33" t="s">
        <v>13</v>
      </c>
      <c r="F33">
        <v>2010</v>
      </c>
      <c r="G33" s="14">
        <v>71.154970000000006</v>
      </c>
      <c r="I33">
        <v>1</v>
      </c>
      <c r="J33" t="s">
        <v>119</v>
      </c>
      <c r="K33">
        <v>11</v>
      </c>
      <c r="L33" t="s">
        <v>91</v>
      </c>
      <c r="M33">
        <v>2010</v>
      </c>
      <c r="N33" s="14">
        <v>102.39960000000001</v>
      </c>
    </row>
    <row r="34" spans="1:14" x14ac:dyDescent="0.3">
      <c r="A34" t="s">
        <v>133</v>
      </c>
      <c r="B34">
        <v>0</v>
      </c>
      <c r="C34" t="s">
        <v>114</v>
      </c>
      <c r="D34">
        <v>80</v>
      </c>
      <c r="E34" t="s">
        <v>4</v>
      </c>
      <c r="F34">
        <v>2010</v>
      </c>
      <c r="G34" s="14">
        <v>65.067689999999999</v>
      </c>
      <c r="I34">
        <v>1</v>
      </c>
      <c r="J34" t="s">
        <v>124</v>
      </c>
      <c r="K34">
        <v>35</v>
      </c>
      <c r="L34" t="s">
        <v>268</v>
      </c>
      <c r="M34">
        <v>2010</v>
      </c>
      <c r="N34" s="14">
        <v>99.319500000000005</v>
      </c>
    </row>
    <row r="35" spans="1:14" x14ac:dyDescent="0.3">
      <c r="A35" t="s">
        <v>133</v>
      </c>
      <c r="B35">
        <v>0</v>
      </c>
      <c r="C35" t="s">
        <v>115</v>
      </c>
      <c r="D35">
        <v>72</v>
      </c>
      <c r="E35" t="s">
        <v>12</v>
      </c>
      <c r="F35">
        <v>2010</v>
      </c>
      <c r="G35" s="14">
        <v>101.42910000000001</v>
      </c>
      <c r="I35">
        <v>1</v>
      </c>
      <c r="J35" t="s">
        <v>122</v>
      </c>
      <c r="K35">
        <v>27</v>
      </c>
      <c r="L35" t="s">
        <v>86</v>
      </c>
      <c r="M35">
        <v>2010</v>
      </c>
      <c r="N35" s="14">
        <v>110.45820000000001</v>
      </c>
    </row>
    <row r="36" spans="1:14" x14ac:dyDescent="0.3">
      <c r="A36" t="s">
        <v>133</v>
      </c>
      <c r="B36">
        <v>0</v>
      </c>
      <c r="C36" t="s">
        <v>110</v>
      </c>
      <c r="D36">
        <v>64</v>
      </c>
      <c r="E36" t="s">
        <v>10</v>
      </c>
      <c r="F36">
        <v>2010</v>
      </c>
      <c r="G36" s="14">
        <v>95.764420000000001</v>
      </c>
      <c r="I36">
        <v>1</v>
      </c>
      <c r="J36" t="s">
        <v>267</v>
      </c>
      <c r="K36">
        <v>7</v>
      </c>
      <c r="L36" t="s">
        <v>100</v>
      </c>
      <c r="M36">
        <v>2010</v>
      </c>
      <c r="N36" s="14">
        <v>143.5915</v>
      </c>
    </row>
    <row r="37" spans="1:14" x14ac:dyDescent="0.3">
      <c r="A37" t="s">
        <v>133</v>
      </c>
      <c r="B37">
        <v>0</v>
      </c>
      <c r="C37" t="s">
        <v>112</v>
      </c>
      <c r="D37">
        <v>58</v>
      </c>
      <c r="E37" t="s">
        <v>41</v>
      </c>
      <c r="F37">
        <v>2010</v>
      </c>
      <c r="G37" s="14">
        <v>133.68790000000001</v>
      </c>
      <c r="I37">
        <v>1</v>
      </c>
      <c r="J37" t="s">
        <v>124</v>
      </c>
      <c r="K37">
        <v>40</v>
      </c>
      <c r="L37" t="s">
        <v>60</v>
      </c>
      <c r="M37">
        <v>2010</v>
      </c>
      <c r="N37" s="14">
        <v>108.64149999999999</v>
      </c>
    </row>
    <row r="38" spans="1:14" x14ac:dyDescent="0.3">
      <c r="A38" t="s">
        <v>133</v>
      </c>
      <c r="B38">
        <v>0</v>
      </c>
      <c r="C38" t="s">
        <v>111</v>
      </c>
      <c r="D38">
        <v>76</v>
      </c>
      <c r="E38" t="s">
        <v>32</v>
      </c>
      <c r="F38">
        <v>2010</v>
      </c>
      <c r="G38" s="14">
        <v>102.6824</v>
      </c>
      <c r="I38">
        <v>1</v>
      </c>
      <c r="J38" t="s">
        <v>117</v>
      </c>
      <c r="K38">
        <v>12</v>
      </c>
      <c r="L38" t="s">
        <v>93</v>
      </c>
      <c r="M38">
        <v>2010</v>
      </c>
      <c r="N38" s="14">
        <v>82.351169999999996</v>
      </c>
    </row>
    <row r="39" spans="1:14" x14ac:dyDescent="0.3">
      <c r="A39" t="s">
        <v>133</v>
      </c>
      <c r="B39">
        <v>0</v>
      </c>
      <c r="C39" t="s">
        <v>108</v>
      </c>
      <c r="D39">
        <v>91</v>
      </c>
      <c r="E39" t="s">
        <v>7</v>
      </c>
      <c r="F39">
        <v>2010</v>
      </c>
      <c r="G39" s="14">
        <v>78.232919999999993</v>
      </c>
      <c r="I39">
        <v>1</v>
      </c>
      <c r="J39" t="s">
        <v>120</v>
      </c>
      <c r="K39">
        <v>41</v>
      </c>
      <c r="L39" t="s">
        <v>43</v>
      </c>
      <c r="M39">
        <v>2010</v>
      </c>
      <c r="N39" s="14">
        <v>99.06523</v>
      </c>
    </row>
    <row r="40" spans="1:14" x14ac:dyDescent="0.3">
      <c r="A40" t="s">
        <v>133</v>
      </c>
      <c r="B40">
        <v>0</v>
      </c>
      <c r="C40" t="s">
        <v>116</v>
      </c>
      <c r="D40">
        <v>67</v>
      </c>
      <c r="E40" t="s">
        <v>24</v>
      </c>
      <c r="F40">
        <v>2010</v>
      </c>
      <c r="G40" s="14">
        <v>88.328519999999997</v>
      </c>
      <c r="I40">
        <v>1</v>
      </c>
      <c r="J40" t="s">
        <v>120</v>
      </c>
      <c r="K40">
        <v>44</v>
      </c>
      <c r="L40" t="s">
        <v>47</v>
      </c>
      <c r="M40">
        <v>2010</v>
      </c>
      <c r="N40" s="14">
        <v>100.98699999999999</v>
      </c>
    </row>
    <row r="41" spans="1:14" x14ac:dyDescent="0.3">
      <c r="A41" t="s">
        <v>133</v>
      </c>
      <c r="B41">
        <v>0</v>
      </c>
      <c r="C41" t="s">
        <v>115</v>
      </c>
      <c r="D41">
        <v>75</v>
      </c>
      <c r="E41" t="s">
        <v>3</v>
      </c>
      <c r="F41">
        <v>2010</v>
      </c>
      <c r="G41" s="14">
        <v>104.9209</v>
      </c>
      <c r="I41">
        <v>1</v>
      </c>
      <c r="J41" t="s">
        <v>118</v>
      </c>
      <c r="K41">
        <v>46</v>
      </c>
      <c r="L41" t="s">
        <v>67</v>
      </c>
      <c r="M41">
        <v>2010</v>
      </c>
      <c r="N41" s="14">
        <v>119.2456</v>
      </c>
    </row>
    <row r="42" spans="1:14" x14ac:dyDescent="0.3">
      <c r="A42" t="s">
        <v>133</v>
      </c>
      <c r="B42">
        <v>0</v>
      </c>
      <c r="C42" t="s">
        <v>113</v>
      </c>
      <c r="D42">
        <v>70</v>
      </c>
      <c r="E42" t="s">
        <v>35</v>
      </c>
      <c r="F42">
        <v>2010</v>
      </c>
      <c r="G42" s="14">
        <v>95.354060000000004</v>
      </c>
      <c r="I42">
        <v>1</v>
      </c>
      <c r="J42" t="s">
        <v>124</v>
      </c>
      <c r="K42">
        <v>34</v>
      </c>
      <c r="L42" t="s">
        <v>80</v>
      </c>
      <c r="M42">
        <v>2010</v>
      </c>
      <c r="N42" s="14">
        <v>108.117</v>
      </c>
    </row>
    <row r="43" spans="1:14" x14ac:dyDescent="0.3">
      <c r="I43">
        <v>1</v>
      </c>
      <c r="J43" t="s">
        <v>122</v>
      </c>
      <c r="K43">
        <v>28</v>
      </c>
      <c r="L43" t="s">
        <v>74</v>
      </c>
      <c r="M43">
        <v>2010</v>
      </c>
      <c r="N43" s="14">
        <v>102.9285</v>
      </c>
    </row>
    <row r="44" spans="1:14" x14ac:dyDescent="0.3">
      <c r="G44" s="62">
        <f>SUM(G2:G42)/41</f>
        <v>92.265515853658542</v>
      </c>
      <c r="I44">
        <v>1</v>
      </c>
      <c r="J44" t="s">
        <v>121</v>
      </c>
      <c r="K44">
        <v>1</v>
      </c>
      <c r="L44" t="s">
        <v>92</v>
      </c>
      <c r="M44">
        <v>2010</v>
      </c>
      <c r="N44" s="14">
        <v>105.6765</v>
      </c>
    </row>
    <row r="45" spans="1:14" x14ac:dyDescent="0.3">
      <c r="I45">
        <v>1</v>
      </c>
      <c r="J45" t="s">
        <v>122</v>
      </c>
      <c r="K45">
        <v>23</v>
      </c>
      <c r="L45" t="s">
        <v>82</v>
      </c>
      <c r="M45">
        <v>2010</v>
      </c>
      <c r="N45" s="14">
        <v>99.631659999999997</v>
      </c>
    </row>
    <row r="46" spans="1:14" x14ac:dyDescent="0.3">
      <c r="I46">
        <v>1</v>
      </c>
      <c r="J46" t="s">
        <v>124</v>
      </c>
      <c r="K46">
        <v>37</v>
      </c>
      <c r="L46" t="s">
        <v>95</v>
      </c>
      <c r="M46">
        <v>2010</v>
      </c>
      <c r="N46" s="14">
        <v>125.3171</v>
      </c>
    </row>
    <row r="47" spans="1:14" x14ac:dyDescent="0.3">
      <c r="I47">
        <v>1</v>
      </c>
      <c r="J47" t="s">
        <v>123</v>
      </c>
      <c r="K47">
        <v>93</v>
      </c>
      <c r="L47" t="s">
        <v>55</v>
      </c>
      <c r="M47">
        <v>2010</v>
      </c>
      <c r="N47" s="14">
        <v>86.830219999999997</v>
      </c>
    </row>
    <row r="48" spans="1:14" x14ac:dyDescent="0.3">
      <c r="I48">
        <v>1</v>
      </c>
      <c r="J48" t="s">
        <v>124</v>
      </c>
      <c r="K48">
        <v>38</v>
      </c>
      <c r="L48" t="s">
        <v>61</v>
      </c>
      <c r="M48">
        <v>2010</v>
      </c>
      <c r="N48" s="14">
        <v>91.845380000000006</v>
      </c>
    </row>
    <row r="49" spans="9:14" x14ac:dyDescent="0.3">
      <c r="I49">
        <v>1</v>
      </c>
      <c r="J49" t="s">
        <v>122</v>
      </c>
      <c r="K49">
        <v>24</v>
      </c>
      <c r="L49" t="s">
        <v>72</v>
      </c>
      <c r="M49">
        <v>2010</v>
      </c>
      <c r="N49" s="14">
        <v>100.7311</v>
      </c>
    </row>
    <row r="50" spans="9:14" x14ac:dyDescent="0.3">
      <c r="I50">
        <v>1</v>
      </c>
      <c r="J50" t="s">
        <v>117</v>
      </c>
      <c r="K50">
        <v>16</v>
      </c>
      <c r="L50" t="s">
        <v>90</v>
      </c>
      <c r="M50">
        <v>2010</v>
      </c>
      <c r="N50" s="14">
        <v>95.926509999999993</v>
      </c>
    </row>
    <row r="51" spans="9:14" x14ac:dyDescent="0.3">
      <c r="I51">
        <v>1</v>
      </c>
      <c r="J51" t="s">
        <v>118</v>
      </c>
      <c r="K51">
        <v>48</v>
      </c>
      <c r="L51" t="s">
        <v>89</v>
      </c>
      <c r="M51">
        <v>2010</v>
      </c>
      <c r="N51" s="14">
        <v>137.94300000000001</v>
      </c>
    </row>
    <row r="52" spans="9:14" x14ac:dyDescent="0.3">
      <c r="I52">
        <v>1</v>
      </c>
      <c r="J52" t="s">
        <v>125</v>
      </c>
      <c r="K52">
        <v>54</v>
      </c>
      <c r="L52" t="s">
        <v>45</v>
      </c>
      <c r="M52">
        <v>2010</v>
      </c>
      <c r="N52" s="14">
        <v>89.350470000000001</v>
      </c>
    </row>
    <row r="53" spans="9:14" x14ac:dyDescent="0.3">
      <c r="I53">
        <v>1</v>
      </c>
      <c r="J53" t="s">
        <v>117</v>
      </c>
      <c r="K53">
        <v>17</v>
      </c>
      <c r="L53" t="s">
        <v>83</v>
      </c>
      <c r="M53">
        <v>2010</v>
      </c>
      <c r="N53" s="14">
        <v>120.51990000000001</v>
      </c>
    </row>
    <row r="54" spans="9:14" x14ac:dyDescent="0.3">
      <c r="I54">
        <v>1</v>
      </c>
      <c r="J54" t="s">
        <v>124</v>
      </c>
      <c r="K54">
        <v>33</v>
      </c>
      <c r="L54" t="s">
        <v>62</v>
      </c>
      <c r="M54">
        <v>2010</v>
      </c>
      <c r="N54" s="14">
        <v>104.2735</v>
      </c>
    </row>
    <row r="55" spans="9:14" x14ac:dyDescent="0.3">
      <c r="I55">
        <v>1</v>
      </c>
      <c r="J55" t="s">
        <v>118</v>
      </c>
      <c r="K55">
        <v>49</v>
      </c>
      <c r="L55" t="s">
        <v>53</v>
      </c>
      <c r="M55">
        <v>2010</v>
      </c>
      <c r="N55" s="14">
        <v>122.1311</v>
      </c>
    </row>
    <row r="56" spans="9:14" x14ac:dyDescent="0.3">
      <c r="I56">
        <v>1</v>
      </c>
      <c r="J56" t="s">
        <v>124</v>
      </c>
      <c r="K56">
        <v>36</v>
      </c>
      <c r="L56" t="s">
        <v>96</v>
      </c>
      <c r="M56">
        <v>2010</v>
      </c>
      <c r="N56" s="14">
        <v>99.925790000000006</v>
      </c>
    </row>
    <row r="57" spans="9:14" x14ac:dyDescent="0.3">
      <c r="I57">
        <v>1</v>
      </c>
      <c r="J57" t="s">
        <v>121</v>
      </c>
      <c r="K57">
        <v>96</v>
      </c>
      <c r="L57" t="s">
        <v>66</v>
      </c>
      <c r="M57">
        <v>2010</v>
      </c>
      <c r="N57" s="14">
        <v>81.993399999999994</v>
      </c>
    </row>
    <row r="58" spans="9:14" x14ac:dyDescent="0.3">
      <c r="I58">
        <v>1</v>
      </c>
      <c r="J58" t="s">
        <v>120</v>
      </c>
      <c r="K58">
        <v>43</v>
      </c>
      <c r="L58" t="s">
        <v>42</v>
      </c>
      <c r="M58">
        <v>2010</v>
      </c>
      <c r="N58" s="14">
        <v>88.984430000000003</v>
      </c>
    </row>
    <row r="59" spans="9:14" x14ac:dyDescent="0.3">
      <c r="I59">
        <v>1</v>
      </c>
      <c r="J59" t="s">
        <v>117</v>
      </c>
      <c r="K59">
        <v>13</v>
      </c>
      <c r="L59" t="s">
        <v>78</v>
      </c>
      <c r="M59">
        <v>2010</v>
      </c>
      <c r="N59" s="14">
        <v>99.460930000000005</v>
      </c>
    </row>
    <row r="60" spans="9:14" x14ac:dyDescent="0.3">
      <c r="I60">
        <v>1</v>
      </c>
      <c r="J60" t="s">
        <v>118</v>
      </c>
      <c r="K60">
        <v>50</v>
      </c>
      <c r="L60" t="s">
        <v>71</v>
      </c>
      <c r="M60">
        <v>2010</v>
      </c>
      <c r="N60" s="14">
        <v>108.4679</v>
      </c>
    </row>
    <row r="61" spans="9:14" x14ac:dyDescent="0.3">
      <c r="I61">
        <v>1</v>
      </c>
      <c r="J61" t="s">
        <v>117</v>
      </c>
      <c r="K61">
        <v>19</v>
      </c>
      <c r="L61" t="s">
        <v>97</v>
      </c>
      <c r="M61">
        <v>2010</v>
      </c>
      <c r="N61" s="14">
        <v>93.492000000000004</v>
      </c>
    </row>
    <row r="62" spans="9:14" x14ac:dyDescent="0.3">
      <c r="I62">
        <v>1</v>
      </c>
      <c r="J62" t="s">
        <v>118</v>
      </c>
      <c r="K62">
        <v>52</v>
      </c>
      <c r="L62" t="s">
        <v>63</v>
      </c>
      <c r="M62">
        <v>2010</v>
      </c>
      <c r="N62" s="14">
        <v>115.992</v>
      </c>
    </row>
    <row r="63" spans="9:14" x14ac:dyDescent="0.3">
      <c r="I63">
        <v>1</v>
      </c>
      <c r="J63" t="s">
        <v>121</v>
      </c>
      <c r="K63">
        <v>3</v>
      </c>
      <c r="L63" t="s">
        <v>81</v>
      </c>
      <c r="M63">
        <v>2010</v>
      </c>
      <c r="N63" s="14">
        <v>97.839470000000006</v>
      </c>
    </row>
    <row r="65" spans="14:14" x14ac:dyDescent="0.3">
      <c r="N65" s="62">
        <f>SUM(N2:N63)/62</f>
        <v>103.24996709677423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Nominal wage</vt:lpstr>
      <vt:lpstr>Employment rate</vt:lpstr>
      <vt:lpstr>Aggregate labor income</vt:lpstr>
      <vt:lpstr>Table 3 Germany</vt:lpstr>
      <vt:lpstr>CPI 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CORBISIERO</dc:creator>
  <cp:lastModifiedBy>MICHELE CORBISIERO</cp:lastModifiedBy>
  <dcterms:created xsi:type="dcterms:W3CDTF">2024-08-22T15:41:27Z</dcterms:created>
  <dcterms:modified xsi:type="dcterms:W3CDTF">2024-10-01T18:40:47Z</dcterms:modified>
</cp:coreProperties>
</file>